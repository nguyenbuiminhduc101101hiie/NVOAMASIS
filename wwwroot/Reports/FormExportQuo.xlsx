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40" windowHeight="12045"/>
  </bookViews>
  <sheets>
    <sheet name="40RF MELBOURNE OOCL" sheetId="10" r:id="rId1"/>
    <sheet name="40RF MELBOURNE PIL" sheetId="8" r:id="rId2"/>
    <sheet name="20RF MELBOURNE OOCL" sheetId="11" r:id="rId3"/>
    <sheet name="20RF MELBOURNE PIL" sheetId="9" r:id="rId4"/>
  </sheets>
  <calcPr calcId="144525"/>
</workbook>
</file>

<file path=xl/sharedStrings.xml><?xml version="1.0" encoding="utf-8"?>
<sst xmlns="http://schemas.openxmlformats.org/spreadsheetml/2006/main" count="273" uniqueCount="76">
  <si>
    <t>GS GLOBAL LOGISTICS CO.,LTD
CÔNG TY TNHH GIAO NHẬN TOÀN CẦU GS</t>
  </si>
  <si>
    <t>Add: 66M Hoang Quoc Viet Street, Phu My Ward, District 7, Ho Chi Minh City, Viet Nam</t>
  </si>
  <si>
    <t>Mail: info@gsglobal.vn</t>
  </si>
  <si>
    <t>Tel: +84-28-3535-5672</t>
  </si>
  <si>
    <t>Website: http://www.gsglobal.vn</t>
  </si>
  <si>
    <t>QUOTATION FCL
BẢNG BÁO GIÁ HÀNG NGUYÊN CONT</t>
  </si>
  <si>
    <t xml:space="preserve">CUSTOMER/ KHÁCH HÀNG: </t>
  </si>
  <si>
    <t xml:space="preserve">ADD/ ĐỊA CHỈ: </t>
  </si>
  <si>
    <t xml:space="preserve">POL/ CẢNG ĐI : </t>
  </si>
  <si>
    <t>PICK UP ADD/ ĐỊA CHỈ LẤY HÀNG:</t>
  </si>
  <si>
    <t>POD/ CẢNG ĐẾN :</t>
  </si>
  <si>
    <t xml:space="preserve">TRANSIT TIME/ THỜI GIAN ĐI : </t>
  </si>
  <si>
    <t>VOLUM/ SỐ LƯỢNG :</t>
  </si>
  <si>
    <t xml:space="preserve">VALID : </t>
  </si>
  <si>
    <t>NO.</t>
  </si>
  <si>
    <t>SERVICE/ DỊCH VỤ</t>
  </si>
  <si>
    <t>UNIT/ 
ĐƠN VỊ</t>
  </si>
  <si>
    <t>CONT      40 RF</t>
  </si>
  <si>
    <t>UNIT PRICE/ ĐƠN GIÁ (USD)</t>
  </si>
  <si>
    <t>VAT 0%</t>
  </si>
  <si>
    <t>TOTAL/ 
TRỊ GIÁ (USD)</t>
  </si>
  <si>
    <t>REMARKS/ LƯU Ý</t>
  </si>
  <si>
    <t>LOCAL CHARGE/ 
PHỤ PHÍ TẠI HỒ CHÍ MINH</t>
  </si>
  <si>
    <t>UNIT</t>
  </si>
  <si>
    <t>CONT 40RF</t>
  </si>
  <si>
    <t>UNIT PRICE (USD)</t>
  </si>
  <si>
    <t>VAT 8%</t>
  </si>
  <si>
    <t>REMARKS</t>
  </si>
  <si>
    <t>TOTAL</t>
  </si>
  <si>
    <t>USD</t>
  </si>
  <si>
    <t>INCLUDED VAT 8%/ ĐÃ BAO GỒM VAT 8%</t>
  </si>
  <si>
    <t>Notes: LIFTING BY PORT'S DEBIT, VIETCOM BANK RATE/ NÂNG HẠ THEO HOÁ ĐƠN CẢNG , TỶ GIÁ THEO VCB</t>
  </si>
  <si>
    <t>1)Quotation applied for general goods (not dangerous goods)
Báo giá áp dụng cho hàng hóa thông thường (không phải hàng nguy hiểm)</t>
  </si>
  <si>
    <t>2)Schedule and transportation time is estimation and can be changed based on actual schedule change
Lịch tàu và thời gian vận chuyển là ước tính và có thể thay đổi dựa trên sự thay đổi của hãng tàu</t>
  </si>
  <si>
    <t>3)Quotation above not including prepaid payment (on behalf of) if any such as: Import fee, warehouse, examination fees, analyze fees, storage fee, import Tax &amp; Duty … as required by Custom.
Báo giá trên chưa bao gồm các khoản chi hộ (thay mặt) nếu có như: Phí nhập khẩu, kho bãi, phí kiểm tra, phí phân tích, phí lưu kho, thuế nhập khẩu, thuế… theo yêu cầu của Hải quan.</t>
  </si>
  <si>
    <t>4)Customs fees applied to general goods and under 10 items of goods. Customer should provide legally, completed Custom documents and timely with process agreed with GS GLOBAL
Phí hải quan áp dụng đối với hàng hóa thông thường và hàng hóa dưới 50 mặt hàng. Khách hàng nên cung cấp các tài liệu hợp pháp, đầy đủ và kịp thời theo quy trình đã thống nhất với GS GLOBAL</t>
  </si>
  <si>
    <t>5)Domestic transportation fee not including restriction road fees, detention chassis, forklit, storage, packing fees…
Phí vận chuyển nội địa không bao gồm phí đường cấm, phí trông giữ xe, phí xe nâng, lưu kho, đóng gói…</t>
  </si>
  <si>
    <r>
      <rPr>
        <i/>
        <sz val="14"/>
        <color theme="2" tint="-0.749992370372631"/>
        <rFont val="Calibri"/>
        <charset val="134"/>
        <scheme val="minor"/>
      </rPr>
      <t>6)Quotation abov</t>
    </r>
    <r>
      <rPr>
        <i/>
        <sz val="14"/>
        <rFont val="Calibri"/>
        <charset val="134"/>
        <scheme val="minor"/>
      </rPr>
      <t>e including 10% VAT</t>
    </r>
    <r>
      <rPr>
        <i/>
        <sz val="14"/>
        <color theme="2" tint="-0.749992370372631"/>
        <rFont val="Calibri"/>
        <charset val="134"/>
        <scheme val="minor"/>
      </rPr>
      <t xml:space="preserve">
Báo giá trên đã bao gồm VAT 10%</t>
    </r>
  </si>
  <si>
    <t>7)Payment term:  As selling rate of Vietcombank at the time invoice issued
Thời hạn thanh toán: Theo tỷ giá bán của Vietcombank tại thời điểm xuất hóa đơn</t>
  </si>
  <si>
    <t xml:space="preserve">8)Quotation expired at: 
Báo giá có giá trị đến </t>
  </si>
  <si>
    <t xml:space="preserve">9) All transactions must comply with Vietnamese law
Tất cả mọi giao dịch phải tuân theo pháp luật Việt Nam
</t>
  </si>
  <si>
    <t>10) Debt period 30 days from invoice date/ Thời gian công nợ: 30 ngày kể từ ngày xuất hóa đơn</t>
  </si>
  <si>
    <t>if have any urgents, pls feel free to contact: 0945044482- Ms.Lieu to support!</t>
  </si>
  <si>
    <t>We believe that we can meet the needs of your company. We look forward to serving you in the near future!
Chúng tôi tin rằng có thể đáp ứng tốt nhu cầu của quý công ty. Chúng tôi rất hân hạnh nếu được phục vụ quý công ty trong thời gian tới!!</t>
  </si>
  <si>
    <t>CÔNG TY CỔ PHẦN CUỘC SỐNG TỐT LÀNH</t>
  </si>
  <si>
    <t>Lô 1G, Khu Nông Nghiệp Công Nghệ Cao TP.HCM, Xã Phạm Văn Cội, Huyện Củ Chi, TP.HCM</t>
  </si>
  <si>
    <t>POL/ CẢNG ĐI : HO CHI MINH</t>
  </si>
  <si>
    <t>CỦ CHI</t>
  </si>
  <si>
    <t>POD/ CẢNG ĐẾN : MELBOURNE, BRISBANE, SYDNEY</t>
  </si>
  <si>
    <t>20-25 DAYS</t>
  </si>
  <si>
    <t>VOLUM/ SỐ LƯỢNG : 1X40RF</t>
  </si>
  <si>
    <t>VALID : 15/11/25- 30/11/25</t>
  </si>
  <si>
    <t>OCEAN FREIGHT/ 
CƯỚC BIỂN</t>
  </si>
  <si>
    <t>CONT</t>
  </si>
  <si>
    <t>PIL</t>
  </si>
  <si>
    <t>AMS</t>
  </si>
  <si>
    <t>USD/SHIP</t>
  </si>
  <si>
    <t xml:space="preserve">THC </t>
  </si>
  <si>
    <t>USD/CONT</t>
  </si>
  <si>
    <t>SEAL</t>
  </si>
  <si>
    <t>BILL</t>
  </si>
  <si>
    <t>TELEX</t>
  </si>
  <si>
    <t xml:space="preserve">TRUCKING </t>
  </si>
  <si>
    <t>NÂNG HẠ</t>
  </si>
  <si>
    <t>-</t>
  </si>
  <si>
    <t>THEO HÓA ĐƠN CẢNG</t>
  </si>
  <si>
    <t>PHYTO</t>
  </si>
  <si>
    <t>C/O</t>
  </si>
  <si>
    <t>CUSTOMS CLEARANCE</t>
  </si>
  <si>
    <t>8)Quotation expired at: 15/07/2023
Báo giá có giá trị đến 15/07/2023</t>
  </si>
  <si>
    <t>POD/ CẢNG ĐẾN :  MELBOURNE, BRISBANE, SYDNEY</t>
  </si>
  <si>
    <t>VOLUM/ SỐ LƯỢNG : 1X20RF</t>
  </si>
  <si>
    <t>CONT 20 RF</t>
  </si>
  <si>
    <t>OOCL</t>
  </si>
  <si>
    <t>CONT 20RF</t>
  </si>
  <si>
    <r>
      <rPr>
        <i/>
        <sz val="14"/>
        <color theme="2" tint="-0.749992370372631"/>
        <rFont val="Calibri"/>
        <charset val="134"/>
        <scheme val="minor"/>
      </rPr>
      <t xml:space="preserve">6)Quotation above </t>
    </r>
    <r>
      <rPr>
        <i/>
        <sz val="14"/>
        <color rgb="FFFF0000"/>
        <rFont val="Calibri"/>
        <charset val="134"/>
        <scheme val="minor"/>
      </rPr>
      <t>including 10% VAT</t>
    </r>
    <r>
      <rPr>
        <i/>
        <sz val="14"/>
        <color theme="2" tint="-0.749992370372631"/>
        <rFont val="Calibri"/>
        <charset val="134"/>
        <scheme val="minor"/>
      </rPr>
      <t xml:space="preserve">
Báo giá trên đã bao gồm VAT 10%</t>
    </r>
  </si>
</sst>
</file>

<file path=xl/styles.xml><?xml version="1.0" encoding="utf-8"?>
<styleSheet xmlns="http://schemas.openxmlformats.org/spreadsheetml/2006/main">
  <numFmts count="8">
    <numFmt numFmtId="42" formatCode="_(&quot;$&quot;* #,##0_);_(&quot;$&quot;* \(#,##0\);_(&quot;$&quot;* &quot;-&quot;_);_(@_)"/>
    <numFmt numFmtId="176" formatCode="&quot;$&quot;#,##0.0"/>
    <numFmt numFmtId="43" formatCode="_(* #,##0.00_);_(* \(#,##0.00\);_(* &quot;-&quot;??_);_(@_)"/>
    <numFmt numFmtId="177" formatCode="&quot;$&quot;#,##0"/>
    <numFmt numFmtId="41" formatCode="_(* #,##0_);_(* \(#,##0\);_(* &quot;-&quot;_);_(@_)"/>
    <numFmt numFmtId="44" formatCode="_(&quot;$&quot;* #,##0.00_);_(&quot;$&quot;* \(#,##0.00\);_(&quot;$&quot;* &quot;-&quot;??_);_(@_)"/>
    <numFmt numFmtId="178" formatCode="&quot;$&quot;#,##0.00"/>
    <numFmt numFmtId="179" formatCode="_(* #,##0_);_(* \(#,##0\);_(* &quot;-&quot;??_);_(@_)"/>
  </numFmts>
  <fonts count="38">
    <font>
      <sz val="11"/>
      <color theme="1"/>
      <name val="Calibri"/>
      <charset val="134"/>
      <scheme val="minor"/>
    </font>
    <font>
      <sz val="14"/>
      <color theme="1"/>
      <name val="Calibri"/>
      <charset val="134"/>
      <scheme val="minor"/>
    </font>
    <font>
      <sz val="14"/>
      <color theme="1"/>
      <name val="Times New Roman"/>
      <charset val="134"/>
    </font>
    <font>
      <b/>
      <sz val="18"/>
      <color rgb="FF333399"/>
      <name val="Times New Roman"/>
      <charset val="134"/>
    </font>
    <font>
      <b/>
      <sz val="14"/>
      <color rgb="FF333399"/>
      <name val="Times New Roman"/>
      <charset val="134"/>
    </font>
    <font>
      <b/>
      <sz val="18"/>
      <color theme="1"/>
      <name val="Times New Roman"/>
      <charset val="134"/>
    </font>
    <font>
      <b/>
      <sz val="22"/>
      <color theme="1"/>
      <name val="Times New Roman"/>
      <charset val="134"/>
    </font>
    <font>
      <b/>
      <sz val="14"/>
      <color theme="1"/>
      <name val="Times New Roman"/>
      <charset val="134"/>
    </font>
    <font>
      <b/>
      <sz val="14"/>
      <color rgb="FF000000"/>
      <name val="Times New Roman"/>
      <charset val="134"/>
    </font>
    <font>
      <sz val="14"/>
      <color rgb="FF001A33"/>
      <name val="Helvetica Neue"/>
      <charset val="134"/>
    </font>
    <font>
      <b/>
      <u/>
      <sz val="14"/>
      <name val="Times New Roman"/>
      <charset val="134"/>
    </font>
    <font>
      <sz val="14"/>
      <color rgb="FF000000"/>
      <name val="Times New Roman"/>
      <charset val="134"/>
    </font>
    <font>
      <b/>
      <i/>
      <u/>
      <sz val="14"/>
      <color theme="1"/>
      <name val="Times New Roman"/>
      <charset val="134"/>
    </font>
    <font>
      <i/>
      <sz val="14"/>
      <color theme="2" tint="-0.749992370372631"/>
      <name val="Calibri"/>
      <charset val="134"/>
      <scheme val="minor"/>
    </font>
    <font>
      <b/>
      <i/>
      <sz val="14"/>
      <color theme="2" tint="-0.749992370372631"/>
      <name val="Calibri"/>
      <charset val="134"/>
      <scheme val="minor"/>
    </font>
    <font>
      <b/>
      <sz val="16"/>
      <color theme="1"/>
      <name val="Calibri"/>
      <charset val="134"/>
      <scheme val="minor"/>
    </font>
    <font>
      <sz val="14"/>
      <color rgb="FF000000"/>
      <name val="Microsoft YaHei"/>
      <charset val="134"/>
    </font>
    <font>
      <u/>
      <sz val="11"/>
      <color rgb="FF800080"/>
      <name val="Calibri"/>
      <charset val="0"/>
      <scheme val="minor"/>
    </font>
    <font>
      <u/>
      <sz val="11"/>
      <color rgb="FF0000FF"/>
      <name val="Calibri"/>
      <charset val="0"/>
      <scheme val="minor"/>
    </font>
    <font>
      <sz val="11"/>
      <color rgb="FFFF0000"/>
      <name val="Calibri"/>
      <charset val="0"/>
      <scheme val="minor"/>
    </font>
    <font>
      <sz val="11"/>
      <color theme="0"/>
      <name val="Calibri"/>
      <charset val="0"/>
      <scheme val="minor"/>
    </font>
    <font>
      <sz val="11"/>
      <color theme="1"/>
      <name val="Calibri"/>
      <charset val="0"/>
      <scheme val="minor"/>
    </font>
    <font>
      <sz val="11"/>
      <color rgb="FF9C6500"/>
      <name val="Calibri"/>
      <charset val="0"/>
      <scheme val="minor"/>
    </font>
    <font>
      <b/>
      <sz val="13"/>
      <color theme="3"/>
      <name val="Calibri"/>
      <charset val="134"/>
      <scheme val="minor"/>
    </font>
    <font>
      <sz val="11"/>
      <color rgb="FF3F3F76"/>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b/>
      <sz val="11"/>
      <color rgb="FFFA7D00"/>
      <name val="Calibri"/>
      <charset val="0"/>
      <scheme val="minor"/>
    </font>
    <font>
      <b/>
      <sz val="11"/>
      <color theme="3"/>
      <name val="Calibri"/>
      <charset val="134"/>
      <scheme val="minor"/>
    </font>
    <font>
      <b/>
      <sz val="18"/>
      <color theme="3"/>
      <name val="Calibri"/>
      <charset val="134"/>
      <scheme val="minor"/>
    </font>
    <font>
      <b/>
      <sz val="11"/>
      <color rgb="FF3F3F3F"/>
      <name val="Calibri"/>
      <charset val="0"/>
      <scheme val="minor"/>
    </font>
    <font>
      <i/>
      <sz val="11"/>
      <color rgb="FF7F7F7F"/>
      <name val="Calibri"/>
      <charset val="0"/>
      <scheme val="minor"/>
    </font>
    <font>
      <sz val="11"/>
      <color rgb="FF006100"/>
      <name val="Calibri"/>
      <charset val="0"/>
      <scheme val="minor"/>
    </font>
    <font>
      <b/>
      <sz val="15"/>
      <color theme="3"/>
      <name val="Calibri"/>
      <charset val="134"/>
      <scheme val="minor"/>
    </font>
    <font>
      <sz val="11"/>
      <color rgb="FF9C0006"/>
      <name val="Calibri"/>
      <charset val="0"/>
      <scheme val="minor"/>
    </font>
    <font>
      <i/>
      <sz val="14"/>
      <color rgb="FFFF0000"/>
      <name val="Calibri"/>
      <charset val="134"/>
      <scheme val="minor"/>
    </font>
    <font>
      <i/>
      <sz val="14"/>
      <name val="Calibri"/>
      <charset val="134"/>
      <scheme val="minor"/>
    </font>
  </fonts>
  <fills count="37">
    <fill>
      <patternFill patternType="none"/>
    </fill>
    <fill>
      <patternFill patternType="gray125"/>
    </fill>
    <fill>
      <patternFill patternType="solid">
        <fgColor theme="9" tint="0.399853511154515"/>
        <bgColor indexed="64"/>
      </patternFill>
    </fill>
    <fill>
      <patternFill patternType="solid">
        <fgColor rgb="FFFFFF00"/>
        <bgColor indexed="64"/>
      </patternFill>
    </fill>
    <fill>
      <patternFill patternType="solid">
        <fgColor theme="0"/>
        <bgColor indexed="64"/>
      </patternFill>
    </fill>
    <fill>
      <patternFill patternType="solid">
        <fgColor theme="7" tint="0.399853511154515"/>
        <bgColor indexed="64"/>
      </patternFill>
    </fill>
    <fill>
      <patternFill patternType="solid">
        <fgColor rgb="FFFFFFCC"/>
        <bgColor indexed="64"/>
      </patternFill>
    </fill>
    <fill>
      <patternFill patternType="solid">
        <fgColor theme="6"/>
        <bgColor indexed="64"/>
      </patternFill>
    </fill>
    <fill>
      <patternFill patternType="solid">
        <fgColor theme="5"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rgb="FFFFC7CE"/>
        <bgColor indexed="64"/>
      </patternFill>
    </fill>
  </fills>
  <borders count="17">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21" fillId="10" borderId="0" applyNumberFormat="0" applyBorder="0" applyAlignment="0" applyProtection="0">
      <alignment vertical="center"/>
    </xf>
    <xf numFmtId="43"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25" fillId="15" borderId="12" applyNumberFormat="0" applyAlignment="0" applyProtection="0">
      <alignment vertical="center"/>
    </xf>
    <xf numFmtId="0" fontId="23" fillId="0" borderId="10" applyNumberFormat="0" applyFill="0" applyAlignment="0" applyProtection="0">
      <alignment vertical="center"/>
    </xf>
    <xf numFmtId="0" fontId="0" fillId="6" borderId="9" applyNumberFormat="0" applyFont="0" applyAlignment="0" applyProtection="0">
      <alignment vertical="center"/>
    </xf>
    <xf numFmtId="0" fontId="18" fillId="0" borderId="0" applyNumberFormat="0" applyFill="0" applyBorder="0" applyAlignment="0" applyProtection="0">
      <alignment vertical="center"/>
    </xf>
    <xf numFmtId="0" fontId="20" fillId="17" borderId="0" applyNumberFormat="0" applyBorder="0" applyAlignment="0" applyProtection="0">
      <alignment vertical="center"/>
    </xf>
    <xf numFmtId="0" fontId="17" fillId="0" borderId="0" applyNumberFormat="0" applyFill="0" applyBorder="0" applyAlignment="0" applyProtection="0">
      <alignment vertical="center"/>
    </xf>
    <xf numFmtId="0" fontId="21" fillId="20" borderId="0" applyNumberFormat="0" applyBorder="0" applyAlignment="0" applyProtection="0">
      <alignment vertical="center"/>
    </xf>
    <xf numFmtId="0" fontId="19" fillId="0" borderId="0" applyNumberFormat="0" applyFill="0" applyBorder="0" applyAlignment="0" applyProtection="0">
      <alignment vertical="center"/>
    </xf>
    <xf numFmtId="0" fontId="21" fillId="14" borderId="0" applyNumberFormat="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4" fillId="0" borderId="10" applyNumberFormat="0" applyFill="0" applyAlignment="0" applyProtection="0">
      <alignment vertical="center"/>
    </xf>
    <xf numFmtId="0" fontId="29" fillId="0" borderId="15" applyNumberFormat="0" applyFill="0" applyAlignment="0" applyProtection="0">
      <alignment vertical="center"/>
    </xf>
    <xf numFmtId="0" fontId="29" fillId="0" borderId="0" applyNumberFormat="0" applyFill="0" applyBorder="0" applyAlignment="0" applyProtection="0">
      <alignment vertical="center"/>
    </xf>
    <xf numFmtId="0" fontId="24" fillId="13" borderId="11" applyNumberFormat="0" applyAlignment="0" applyProtection="0">
      <alignment vertical="center"/>
    </xf>
    <xf numFmtId="0" fontId="20" fillId="25" borderId="0" applyNumberFormat="0" applyBorder="0" applyAlignment="0" applyProtection="0">
      <alignment vertical="center"/>
    </xf>
    <xf numFmtId="0" fontId="33" fillId="31" borderId="0" applyNumberFormat="0" applyBorder="0" applyAlignment="0" applyProtection="0">
      <alignment vertical="center"/>
    </xf>
    <xf numFmtId="0" fontId="31" fillId="23" borderId="16" applyNumberFormat="0" applyAlignment="0" applyProtection="0">
      <alignment vertical="center"/>
    </xf>
    <xf numFmtId="0" fontId="21" fillId="24" borderId="0" applyNumberFormat="0" applyBorder="0" applyAlignment="0" applyProtection="0">
      <alignment vertical="center"/>
    </xf>
    <xf numFmtId="0" fontId="28" fillId="23" borderId="11"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35" fillId="36" borderId="0" applyNumberFormat="0" applyBorder="0" applyAlignment="0" applyProtection="0">
      <alignment vertical="center"/>
    </xf>
    <xf numFmtId="0" fontId="22" fillId="9" borderId="0" applyNumberFormat="0" applyBorder="0" applyAlignment="0" applyProtection="0">
      <alignment vertical="center"/>
    </xf>
    <xf numFmtId="0" fontId="20" fillId="35" borderId="0" applyNumberFormat="0" applyBorder="0" applyAlignment="0" applyProtection="0">
      <alignment vertical="center"/>
    </xf>
    <xf numFmtId="0" fontId="21" fillId="28" borderId="0" applyNumberFormat="0" applyBorder="0" applyAlignment="0" applyProtection="0">
      <alignment vertical="center"/>
    </xf>
    <xf numFmtId="0" fontId="20" fillId="16" borderId="0" applyNumberFormat="0" applyBorder="0" applyAlignment="0" applyProtection="0">
      <alignment vertical="center"/>
    </xf>
    <xf numFmtId="0" fontId="20" fillId="27" borderId="0" applyNumberFormat="0" applyBorder="0" applyAlignment="0" applyProtection="0">
      <alignment vertical="center"/>
    </xf>
    <xf numFmtId="0" fontId="21" fillId="8" borderId="0" applyNumberFormat="0" applyBorder="0" applyAlignment="0" applyProtection="0">
      <alignment vertical="center"/>
    </xf>
    <xf numFmtId="0" fontId="21" fillId="22" borderId="0" applyNumberFormat="0" applyBorder="0" applyAlignment="0" applyProtection="0">
      <alignment vertical="center"/>
    </xf>
    <xf numFmtId="0" fontId="20" fillId="21" borderId="0" applyNumberFormat="0" applyBorder="0" applyAlignment="0" applyProtection="0">
      <alignment vertical="center"/>
    </xf>
    <xf numFmtId="0" fontId="20" fillId="7" borderId="0" applyNumberFormat="0" applyBorder="0" applyAlignment="0" applyProtection="0">
      <alignment vertical="center"/>
    </xf>
    <xf numFmtId="0" fontId="21" fillId="12" borderId="0" applyNumberFormat="0" applyBorder="0" applyAlignment="0" applyProtection="0">
      <alignment vertical="center"/>
    </xf>
    <xf numFmtId="0" fontId="20" fillId="34" borderId="0" applyNumberFormat="0" applyBorder="0" applyAlignment="0" applyProtection="0">
      <alignment vertical="center"/>
    </xf>
    <xf numFmtId="0" fontId="21" fillId="19" borderId="0" applyNumberFormat="0" applyBorder="0" applyAlignment="0" applyProtection="0">
      <alignment vertical="center"/>
    </xf>
    <xf numFmtId="0" fontId="21" fillId="30" borderId="0" applyNumberFormat="0" applyBorder="0" applyAlignment="0" applyProtection="0">
      <alignment vertical="center"/>
    </xf>
    <xf numFmtId="0" fontId="20" fillId="33" borderId="0" applyNumberFormat="0" applyBorder="0" applyAlignment="0" applyProtection="0">
      <alignment vertical="center"/>
    </xf>
    <xf numFmtId="0" fontId="21" fillId="11" borderId="0" applyNumberFormat="0" applyBorder="0" applyAlignment="0" applyProtection="0">
      <alignment vertical="center"/>
    </xf>
    <xf numFmtId="0" fontId="20" fillId="29" borderId="0" applyNumberFormat="0" applyBorder="0" applyAlignment="0" applyProtection="0">
      <alignment vertical="center"/>
    </xf>
    <xf numFmtId="0" fontId="20" fillId="32" borderId="0" applyNumberFormat="0" applyBorder="0" applyAlignment="0" applyProtection="0">
      <alignment vertical="center"/>
    </xf>
    <xf numFmtId="0" fontId="21" fillId="26" borderId="0" applyNumberFormat="0" applyBorder="0" applyAlignment="0" applyProtection="0">
      <alignment vertical="center"/>
    </xf>
    <xf numFmtId="0" fontId="20" fillId="18" borderId="0" applyNumberFormat="0" applyBorder="0" applyAlignment="0" applyProtection="0">
      <alignment vertical="center"/>
    </xf>
  </cellStyleXfs>
  <cellXfs count="57">
    <xf numFmtId="0" fontId="0" fillId="0" borderId="0" xfId="0"/>
    <xf numFmtId="0" fontId="1" fillId="0" borderId="0" xfId="0" applyFont="1"/>
    <xf numFmtId="0" fontId="2"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left"/>
    </xf>
    <xf numFmtId="0" fontId="8" fillId="0" borderId="0" xfId="0" applyFont="1" applyAlignment="1">
      <alignment vertical="center"/>
    </xf>
    <xf numFmtId="0" fontId="9" fillId="0" borderId="0" xfId="0" applyFont="1" applyAlignment="1">
      <alignment vertical="center" wrapText="1"/>
    </xf>
    <xf numFmtId="0" fontId="7" fillId="0" borderId="0" xfId="0" applyFont="1" applyAlignment="1">
      <alignment vertical="center"/>
    </xf>
    <xf numFmtId="58" fontId="7" fillId="0" borderId="0" xfId="0" applyNumberFormat="1" applyFont="1" applyAlignment="1">
      <alignment horizontal="left"/>
    </xf>
    <xf numFmtId="0" fontId="10" fillId="0" borderId="1" xfId="0" applyFont="1" applyBorder="1" applyAlignment="1">
      <alignment horizontal="left" vertical="center"/>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8"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177" fontId="2" fillId="0" borderId="6" xfId="0" applyNumberFormat="1" applyFont="1" applyBorder="1" applyAlignment="1">
      <alignment horizontal="right" vertical="center" wrapText="1"/>
    </xf>
    <xf numFmtId="0" fontId="7" fillId="3"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11" fillId="4" borderId="6" xfId="0" applyFont="1" applyFill="1" applyBorder="1" applyAlignment="1">
      <alignment horizontal="center" wrapText="1"/>
    </xf>
    <xf numFmtId="176" fontId="2" fillId="0" borderId="6" xfId="0" applyNumberFormat="1" applyFont="1" applyBorder="1" applyAlignment="1">
      <alignment horizontal="right" vertical="center" wrapText="1"/>
    </xf>
    <xf numFmtId="0" fontId="8" fillId="4" borderId="7" xfId="0" applyFont="1" applyFill="1" applyBorder="1" applyAlignment="1">
      <alignment horizontal="center" vertical="center" wrapText="1"/>
    </xf>
    <xf numFmtId="0" fontId="8" fillId="0" borderId="6" xfId="0" applyFont="1" applyBorder="1" applyAlignment="1">
      <alignment horizontal="left" vertical="center" wrapText="1"/>
    </xf>
    <xf numFmtId="0" fontId="2" fillId="0" borderId="7" xfId="0" applyFont="1" applyBorder="1" applyAlignment="1">
      <alignment horizontal="left" vertical="center" wrapText="1"/>
    </xf>
    <xf numFmtId="0" fontId="7" fillId="0" borderId="7" xfId="0" applyFont="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41" fontId="7" fillId="5" borderId="6" xfId="3" applyFont="1" applyFill="1" applyBorder="1" applyAlignment="1">
      <alignment horizontal="center" vertical="center" wrapText="1"/>
    </xf>
    <xf numFmtId="178" fontId="7" fillId="5" borderId="6" xfId="0" applyNumberFormat="1" applyFont="1" applyFill="1" applyBorder="1" applyAlignment="1">
      <alignment horizontal="right" vertical="center" wrapText="1"/>
    </xf>
    <xf numFmtId="0" fontId="7" fillId="5" borderId="7" xfId="0" applyFont="1" applyFill="1" applyBorder="1" applyAlignment="1">
      <alignment horizontal="center" vertical="center" wrapText="1"/>
    </xf>
    <xf numFmtId="0" fontId="12" fillId="0" borderId="0" xfId="0" applyFont="1" applyAlignment="1">
      <alignment vertical="center"/>
    </xf>
    <xf numFmtId="0" fontId="8" fillId="4" borderId="0" xfId="0" applyFont="1" applyFill="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0" fontId="13" fillId="0" borderId="0" xfId="0" applyFont="1" applyAlignment="1">
      <alignment horizontal="left" vertical="top" wrapText="1"/>
    </xf>
    <xf numFmtId="0" fontId="14" fillId="0" borderId="0" xfId="0" applyFont="1" applyAlignment="1">
      <alignment horizontal="left" vertical="center" wrapText="1"/>
    </xf>
    <xf numFmtId="0" fontId="15" fillId="0" borderId="0" xfId="0" applyFont="1" applyAlignment="1">
      <alignment horizontal="center" wrapText="1"/>
    </xf>
    <xf numFmtId="0" fontId="16" fillId="0" borderId="0" xfId="0" applyFont="1" applyAlignment="1">
      <alignment vertical="center"/>
    </xf>
    <xf numFmtId="178" fontId="1" fillId="0" borderId="0" xfId="0" applyNumberFormat="1" applyFont="1"/>
    <xf numFmtId="179" fontId="1" fillId="0" borderId="0" xfId="2" applyNumberFormat="1" applyFont="1"/>
    <xf numFmtId="0" fontId="1" fillId="4" borderId="0" xfId="0" applyFont="1" applyFill="1" applyAlignment="1">
      <alignment horizontal="right"/>
    </xf>
    <xf numFmtId="176" fontId="2" fillId="0" borderId="6" xfId="2" applyNumberFormat="1" applyFont="1" applyBorder="1" applyAlignment="1">
      <alignment horizontal="right" vertical="center" wrapText="1"/>
    </xf>
    <xf numFmtId="0" fontId="1" fillId="4" borderId="8" xfId="0" applyFont="1" applyFill="1" applyBorder="1" applyAlignment="1">
      <alignment horizontal="center"/>
    </xf>
    <xf numFmtId="0" fontId="1" fillId="4" borderId="0" xfId="0" applyFont="1" applyFill="1" applyAlignment="1">
      <alignment horizont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B7198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0</xdr:row>
      <xdr:rowOff>0</xdr:rowOff>
    </xdr:from>
    <xdr:to>
      <xdr:col>2</xdr:col>
      <xdr:colOff>9526</xdr:colOff>
      <xdr:row>4</xdr:row>
      <xdr:rowOff>200025</xdr:rowOff>
    </xdr:to>
    <xdr:pic>
      <xdr:nvPicPr>
        <xdr:cNvPr id="2" name="Hình ảnh 3"/>
        <xdr:cNvPicPr>
          <a:picLocks noChangeAspect="1"/>
        </xdr:cNvPicPr>
      </xdr:nvPicPr>
      <xdr:blipFill>
        <a:blip r:embed="rId1"/>
        <a:stretch>
          <a:fillRect/>
        </a:stretch>
      </xdr:blipFill>
      <xdr:spPr>
        <a:xfrm>
          <a:off x="0" y="0"/>
          <a:ext cx="2854325" cy="177292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0</xdr:row>
      <xdr:rowOff>0</xdr:rowOff>
    </xdr:from>
    <xdr:to>
      <xdr:col>2</xdr:col>
      <xdr:colOff>9526</xdr:colOff>
      <xdr:row>4</xdr:row>
      <xdr:rowOff>200025</xdr:rowOff>
    </xdr:to>
    <xdr:pic>
      <xdr:nvPicPr>
        <xdr:cNvPr id="4" name="Hình ảnh 3"/>
        <xdr:cNvPicPr>
          <a:picLocks noChangeAspect="1"/>
        </xdr:cNvPicPr>
      </xdr:nvPicPr>
      <xdr:blipFill>
        <a:blip r:embed="rId1"/>
        <a:stretch>
          <a:fillRect/>
        </a:stretch>
      </xdr:blipFill>
      <xdr:spPr>
        <a:xfrm>
          <a:off x="0" y="0"/>
          <a:ext cx="2854325" cy="17729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xdr:colOff>
      <xdr:row>0</xdr:row>
      <xdr:rowOff>0</xdr:rowOff>
    </xdr:from>
    <xdr:to>
      <xdr:col>1</xdr:col>
      <xdr:colOff>2295526</xdr:colOff>
      <xdr:row>5</xdr:row>
      <xdr:rowOff>114300</xdr:rowOff>
    </xdr:to>
    <xdr:pic>
      <xdr:nvPicPr>
        <xdr:cNvPr id="2" name="Hình ảnh 3"/>
        <xdr:cNvPicPr>
          <a:picLocks noChangeAspect="1"/>
        </xdr:cNvPicPr>
      </xdr:nvPicPr>
      <xdr:blipFill>
        <a:blip r:embed="rId1"/>
        <a:stretch>
          <a:fillRect/>
        </a:stretch>
      </xdr:blipFill>
      <xdr:spPr>
        <a:xfrm>
          <a:off x="0" y="0"/>
          <a:ext cx="2806700" cy="192532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xdr:colOff>
      <xdr:row>0</xdr:row>
      <xdr:rowOff>0</xdr:rowOff>
    </xdr:from>
    <xdr:to>
      <xdr:col>1</xdr:col>
      <xdr:colOff>2295526</xdr:colOff>
      <xdr:row>5</xdr:row>
      <xdr:rowOff>114300</xdr:rowOff>
    </xdr:to>
    <xdr:pic>
      <xdr:nvPicPr>
        <xdr:cNvPr id="4" name="Hình ảnh 3"/>
        <xdr:cNvPicPr>
          <a:picLocks noChangeAspect="1"/>
        </xdr:cNvPicPr>
      </xdr:nvPicPr>
      <xdr:blipFill>
        <a:blip r:embed="rId1"/>
        <a:stretch>
          <a:fillRect/>
        </a:stretch>
      </xdr:blipFill>
      <xdr:spPr>
        <a:xfrm>
          <a:off x="0" y="0"/>
          <a:ext cx="2806700" cy="19253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abSelected="1" workbookViewId="0">
      <selection activeCell="C2" sqref="C2:H2"/>
    </sheetView>
  </sheetViews>
  <sheetFormatPr defaultColWidth="8.66666666666667" defaultRowHeight="15"/>
  <cols>
    <col min="1" max="1" width="7.66666666666667" customWidth="1"/>
    <col min="2" max="2" width="35" customWidth="1"/>
    <col min="3" max="3" width="16" customWidth="1"/>
    <col min="4" max="4" width="12.3333333333333" customWidth="1"/>
    <col min="5" max="5" width="20.4380952380952" customWidth="1"/>
    <col min="6" max="6" width="12.6666666666667" customWidth="1"/>
    <col min="7" max="7" width="19.1047619047619" customWidth="1"/>
    <col min="8" max="8" width="36.6666666666667" customWidth="1"/>
    <col min="9" max="9" width="13.4380952380952" customWidth="1"/>
    <col min="10" max="10" width="13.1047619047619" customWidth="1"/>
    <col min="12" max="12" width="14.4380952380952" customWidth="1"/>
    <col min="14" max="14" width="14.6666666666667" customWidth="1"/>
    <col min="17" max="17" width="16" customWidth="1"/>
  </cols>
  <sheetData>
    <row r="1" s="1" customFormat="1" ht="58.55" customHeight="1" spans="1:8">
      <c r="A1" s="2"/>
      <c r="B1" s="2"/>
      <c r="C1" s="3" t="s">
        <v>0</v>
      </c>
      <c r="D1" s="4"/>
      <c r="E1" s="4"/>
      <c r="F1" s="4"/>
      <c r="G1" s="4"/>
      <c r="H1" s="4"/>
    </row>
    <row r="2" s="1" customFormat="1" ht="24.75" customHeight="1" spans="1:8">
      <c r="A2" s="2"/>
      <c r="B2" s="2"/>
      <c r="C2" s="5" t="s">
        <v>1</v>
      </c>
      <c r="D2" s="5"/>
      <c r="E2" s="5"/>
      <c r="F2" s="5"/>
      <c r="G2" s="5"/>
      <c r="H2" s="5"/>
    </row>
    <row r="3" s="1" customFormat="1" ht="21.8" customHeight="1" spans="1:8">
      <c r="A3" s="2"/>
      <c r="B3" s="2"/>
      <c r="C3" s="5" t="s">
        <v>2</v>
      </c>
      <c r="D3" s="5"/>
      <c r="E3" s="5"/>
      <c r="F3" s="5"/>
      <c r="G3" s="5"/>
      <c r="H3" s="5"/>
    </row>
    <row r="4" s="1" customFormat="1" ht="18.75" spans="1:8">
      <c r="A4" s="2"/>
      <c r="B4" s="2"/>
      <c r="C4" s="5" t="s">
        <v>3</v>
      </c>
      <c r="D4" s="5"/>
      <c r="E4" s="5"/>
      <c r="F4" s="5"/>
      <c r="G4" s="5"/>
      <c r="H4" s="5"/>
    </row>
    <row r="5" s="1" customFormat="1" ht="18.75" spans="1:8">
      <c r="A5" s="2"/>
      <c r="B5" s="2"/>
      <c r="C5" s="5" t="s">
        <v>4</v>
      </c>
      <c r="D5" s="5"/>
      <c r="E5" s="5"/>
      <c r="F5" s="5"/>
      <c r="G5" s="5"/>
      <c r="H5" s="5"/>
    </row>
    <row r="6" s="1" customFormat="1" ht="58.55" customHeight="1" spans="1:8">
      <c r="A6" s="2"/>
      <c r="B6" s="6" t="s">
        <v>5</v>
      </c>
      <c r="C6" s="7"/>
      <c r="D6" s="7"/>
      <c r="E6" s="7"/>
      <c r="F6" s="7"/>
      <c r="G6" s="7"/>
      <c r="H6" s="7"/>
    </row>
    <row r="7" s="1" customFormat="1" ht="27.1" customHeight="1" spans="1:8">
      <c r="A7" s="2"/>
      <c r="B7" s="8"/>
      <c r="C7" s="8"/>
      <c r="D7" s="8"/>
      <c r="E7" s="8"/>
      <c r="F7" s="8"/>
      <c r="G7" s="8"/>
      <c r="H7" s="8"/>
    </row>
    <row r="8" s="1" customFormat="1" ht="27.1" customHeight="1" spans="1:8">
      <c r="A8" s="9" t="s">
        <v>6</v>
      </c>
      <c r="B8" s="10"/>
      <c r="C8" s="11"/>
      <c r="D8" s="11"/>
      <c r="E8" s="11"/>
      <c r="F8" s="11"/>
      <c r="G8" s="11"/>
      <c r="H8" s="11"/>
    </row>
    <row r="9" s="1" customFormat="1" ht="23.35" customHeight="1" spans="1:8">
      <c r="A9" s="12" t="s">
        <v>7</v>
      </c>
      <c r="B9" s="12"/>
      <c r="C9" s="9"/>
      <c r="D9" s="2"/>
      <c r="E9" s="2"/>
      <c r="F9" s="2"/>
      <c r="G9" s="2"/>
      <c r="H9" s="2"/>
    </row>
    <row r="10" s="1" customFormat="1" ht="27.1" customHeight="1" spans="1:8">
      <c r="A10" s="12"/>
      <c r="B10" s="12"/>
      <c r="C10" s="2"/>
      <c r="D10" s="2"/>
      <c r="E10" s="2"/>
      <c r="F10" s="2"/>
      <c r="G10" s="2"/>
      <c r="H10" s="2"/>
    </row>
    <row r="11" s="1" customFormat="1" ht="27.7" customHeight="1" spans="1:8">
      <c r="A11" s="12" t="s">
        <v>8</v>
      </c>
      <c r="B11" s="12"/>
      <c r="C11" s="2"/>
      <c r="D11" s="2"/>
      <c r="E11" s="12" t="s">
        <v>9</v>
      </c>
      <c r="F11" s="12"/>
      <c r="G11" s="13"/>
      <c r="H11" s="12"/>
    </row>
    <row r="12" s="1" customFormat="1" ht="23.35" customHeight="1" spans="1:10">
      <c r="A12" s="12" t="s">
        <v>10</v>
      </c>
      <c r="B12" s="12"/>
      <c r="C12" s="2"/>
      <c r="D12" s="2"/>
      <c r="E12" s="14" t="s">
        <v>11</v>
      </c>
      <c r="F12" s="13"/>
      <c r="G12" s="13"/>
      <c r="H12" s="12"/>
      <c r="J12" s="50"/>
    </row>
    <row r="13" s="1" customFormat="1" ht="27.1" customHeight="1" spans="1:10">
      <c r="A13" s="12" t="s">
        <v>12</v>
      </c>
      <c r="B13" s="12"/>
      <c r="C13" s="2"/>
      <c r="D13" s="2"/>
      <c r="E13" s="9" t="s">
        <v>13</v>
      </c>
      <c r="F13" s="9"/>
      <c r="G13" s="2"/>
      <c r="H13" s="15"/>
      <c r="J13" s="50"/>
    </row>
    <row r="14" s="1" customFormat="1" ht="19.9" customHeight="1" spans="1:10">
      <c r="A14" s="12"/>
      <c r="B14" s="12"/>
      <c r="C14" s="2"/>
      <c r="D14" s="2"/>
      <c r="E14" s="9"/>
      <c r="F14" s="9"/>
      <c r="G14" s="2"/>
      <c r="H14" s="2"/>
      <c r="J14" s="50"/>
    </row>
    <row r="15" s="1" customFormat="1" ht="21" spans="2:10">
      <c r="B15" s="16"/>
      <c r="C15" s="16"/>
      <c r="D15" s="16"/>
      <c r="E15" s="16"/>
      <c r="F15" s="16"/>
      <c r="G15" s="16"/>
      <c r="H15" s="16"/>
      <c r="J15" s="50"/>
    </row>
    <row r="16" s="1" customFormat="1" ht="55.6" customHeight="1" spans="1:14">
      <c r="A16" s="17" t="s">
        <v>14</v>
      </c>
      <c r="B16" s="18" t="s">
        <v>15</v>
      </c>
      <c r="C16" s="18" t="s">
        <v>16</v>
      </c>
      <c r="D16" s="18" t="s">
        <v>17</v>
      </c>
      <c r="E16" s="18" t="s">
        <v>18</v>
      </c>
      <c r="F16" s="18" t="s">
        <v>19</v>
      </c>
      <c r="G16" s="18" t="s">
        <v>20</v>
      </c>
      <c r="H16" s="19" t="s">
        <v>21</v>
      </c>
      <c r="J16" s="50"/>
      <c r="L16" s="51"/>
      <c r="N16" s="52"/>
    </row>
    <row r="17" s="1" customFormat="1" ht="48.05" customHeight="1" spans="1:11">
      <c r="A17" s="20"/>
      <c r="B17" s="21"/>
      <c r="C17" s="22"/>
      <c r="D17" s="23"/>
      <c r="E17" s="24"/>
      <c r="F17" s="24"/>
      <c r="G17" s="24"/>
      <c r="H17" s="25"/>
      <c r="I17" s="55"/>
      <c r="J17" s="56"/>
      <c r="K17" s="56"/>
    </row>
    <row r="18" s="1" customFormat="1" ht="53.25" customHeight="1" spans="1:10">
      <c r="A18" s="26" t="s">
        <v>14</v>
      </c>
      <c r="B18" s="27" t="s">
        <v>22</v>
      </c>
      <c r="C18" s="28" t="s">
        <v>23</v>
      </c>
      <c r="D18" s="18" t="s">
        <v>24</v>
      </c>
      <c r="E18" s="27" t="s">
        <v>25</v>
      </c>
      <c r="F18" s="28" t="s">
        <v>26</v>
      </c>
      <c r="G18" s="28"/>
      <c r="H18" s="29" t="s">
        <v>27</v>
      </c>
      <c r="J18" s="50"/>
    </row>
    <row r="19" s="1" customFormat="1" ht="32.25" customHeight="1" spans="1:10">
      <c r="A19" s="30"/>
      <c r="B19" s="31"/>
      <c r="C19" s="32"/>
      <c r="D19" s="22"/>
      <c r="E19" s="33"/>
      <c r="F19" s="33"/>
      <c r="G19" s="33"/>
      <c r="H19" s="34"/>
      <c r="J19" s="50"/>
    </row>
    <row r="20" s="1" customFormat="1" ht="29" customHeight="1" spans="1:10">
      <c r="A20" s="20"/>
      <c r="B20" s="35"/>
      <c r="C20" s="32"/>
      <c r="D20" s="22"/>
      <c r="E20" s="33"/>
      <c r="F20" s="33"/>
      <c r="G20" s="33"/>
      <c r="H20" s="36"/>
      <c r="J20" s="50"/>
    </row>
    <row r="21" s="1" customFormat="1" ht="21.8" customHeight="1" spans="1:10">
      <c r="A21" s="30"/>
      <c r="B21" s="35"/>
      <c r="C21" s="32"/>
      <c r="D21" s="22"/>
      <c r="E21" s="33"/>
      <c r="F21" s="33"/>
      <c r="G21" s="33"/>
      <c r="H21" s="36"/>
      <c r="J21" s="51"/>
    </row>
    <row r="22" s="1" customFormat="1" ht="21.8" customHeight="1" spans="1:10">
      <c r="A22" s="20"/>
      <c r="B22" s="35"/>
      <c r="C22" s="32"/>
      <c r="D22" s="22"/>
      <c r="E22" s="33"/>
      <c r="F22" s="33"/>
      <c r="G22" s="33"/>
      <c r="H22" s="36"/>
      <c r="J22" s="51"/>
    </row>
    <row r="23" s="1" customFormat="1" ht="21.8" customHeight="1" spans="1:10">
      <c r="A23" s="30"/>
      <c r="B23" s="35"/>
      <c r="C23" s="32"/>
      <c r="D23" s="22"/>
      <c r="E23" s="33"/>
      <c r="F23" s="33"/>
      <c r="G23" s="33"/>
      <c r="H23" s="36"/>
      <c r="J23" s="51"/>
    </row>
    <row r="24" s="1" customFormat="1" ht="21.8" customHeight="1" spans="1:10">
      <c r="A24" s="20"/>
      <c r="B24" s="35"/>
      <c r="C24" s="32"/>
      <c r="D24" s="22"/>
      <c r="E24" s="33"/>
      <c r="F24" s="33"/>
      <c r="G24" s="33"/>
      <c r="H24" s="36"/>
      <c r="J24" s="51"/>
    </row>
    <row r="25" s="1" customFormat="1" ht="21.8" customHeight="1" spans="1:10">
      <c r="A25" s="30"/>
      <c r="B25" s="35"/>
      <c r="C25" s="32"/>
      <c r="D25" s="22"/>
      <c r="E25" s="54"/>
      <c r="F25" s="33"/>
      <c r="G25" s="33"/>
      <c r="H25" s="37"/>
      <c r="J25" s="51"/>
    </row>
    <row r="26" s="1" customFormat="1" ht="21.8" customHeight="1" spans="1:10">
      <c r="A26" s="20"/>
      <c r="B26" s="35"/>
      <c r="C26" s="32"/>
      <c r="D26" s="22"/>
      <c r="E26" s="33"/>
      <c r="F26" s="33"/>
      <c r="G26" s="33"/>
      <c r="H26" s="36"/>
      <c r="J26" s="51"/>
    </row>
    <row r="27" s="1" customFormat="1" ht="21.8" customHeight="1" spans="1:10">
      <c r="A27" s="30"/>
      <c r="B27" s="35"/>
      <c r="C27" s="32"/>
      <c r="D27" s="22"/>
      <c r="E27" s="33"/>
      <c r="F27" s="33"/>
      <c r="G27" s="33"/>
      <c r="H27" s="36"/>
      <c r="J27" s="51"/>
    </row>
    <row r="28" s="1" customFormat="1" ht="21.8" customHeight="1" spans="1:10">
      <c r="A28" s="20"/>
      <c r="B28" s="35"/>
      <c r="C28" s="32"/>
      <c r="D28" s="22"/>
      <c r="E28" s="33"/>
      <c r="F28" s="33"/>
      <c r="G28" s="33"/>
      <c r="H28" s="36"/>
      <c r="J28" s="51"/>
    </row>
    <row r="29" s="1" customFormat="1" ht="41.35" customHeight="1" spans="1:10">
      <c r="A29" s="38" t="s">
        <v>28</v>
      </c>
      <c r="B29" s="39"/>
      <c r="C29" s="39"/>
      <c r="D29" s="39"/>
      <c r="E29" s="39"/>
      <c r="F29" s="40" t="s">
        <v>29</v>
      </c>
      <c r="G29" s="41">
        <f>SUM(G17:G28)</f>
        <v>0</v>
      </c>
      <c r="H29" s="42" t="s">
        <v>30</v>
      </c>
      <c r="J29" s="51"/>
    </row>
    <row r="30" s="1" customFormat="1" ht="21.8" customHeight="1" spans="10:12">
      <c r="J30" s="51"/>
      <c r="L30" s="51"/>
    </row>
    <row r="31" s="1" customFormat="1" ht="18.75" spans="1:2">
      <c r="A31" s="43" t="s">
        <v>31</v>
      </c>
      <c r="B31" s="44"/>
    </row>
    <row r="32" s="1" customFormat="1" ht="48.05" customHeight="1" spans="1:8">
      <c r="A32" s="45" t="s">
        <v>32</v>
      </c>
      <c r="B32" s="45"/>
      <c r="C32" s="45"/>
      <c r="D32" s="45"/>
      <c r="E32" s="45"/>
      <c r="F32" s="45"/>
      <c r="G32" s="45"/>
      <c r="H32" s="45"/>
    </row>
    <row r="33" s="1" customFormat="1" ht="48.05" customHeight="1" spans="1:8">
      <c r="A33" s="45" t="s">
        <v>33</v>
      </c>
      <c r="B33" s="45"/>
      <c r="C33" s="45"/>
      <c r="D33" s="45"/>
      <c r="E33" s="45"/>
      <c r="F33" s="45"/>
      <c r="G33" s="45"/>
      <c r="H33" s="45"/>
    </row>
    <row r="34" s="1" customFormat="1" ht="93" customHeight="1" spans="1:8">
      <c r="A34" s="45" t="s">
        <v>34</v>
      </c>
      <c r="B34" s="45"/>
      <c r="C34" s="45"/>
      <c r="D34" s="45"/>
      <c r="E34" s="45"/>
      <c r="F34" s="45"/>
      <c r="G34" s="45"/>
      <c r="H34" s="45"/>
    </row>
    <row r="35" s="1" customFormat="1" ht="88.45" customHeight="1" spans="1:8">
      <c r="A35" s="45" t="s">
        <v>35</v>
      </c>
      <c r="B35" s="45"/>
      <c r="C35" s="45"/>
      <c r="D35" s="45"/>
      <c r="E35" s="45"/>
      <c r="F35" s="45"/>
      <c r="G35" s="45"/>
      <c r="H35" s="45"/>
    </row>
    <row r="36" s="1" customFormat="1" ht="50.25" customHeight="1" spans="1:8">
      <c r="A36" s="45" t="s">
        <v>36</v>
      </c>
      <c r="B36" s="45"/>
      <c r="C36" s="45"/>
      <c r="D36" s="45"/>
      <c r="E36" s="45"/>
      <c r="F36" s="45"/>
      <c r="G36" s="45"/>
      <c r="H36" s="45"/>
    </row>
    <row r="37" s="1" customFormat="1" ht="47.3" customHeight="1" spans="1:8">
      <c r="A37" s="45" t="s">
        <v>37</v>
      </c>
      <c r="B37" s="45"/>
      <c r="C37" s="45"/>
      <c r="D37" s="45"/>
      <c r="E37" s="45"/>
      <c r="F37" s="45"/>
      <c r="G37" s="45"/>
      <c r="H37" s="45"/>
    </row>
    <row r="38" s="1" customFormat="1" ht="49.5" customHeight="1" spans="1:8">
      <c r="A38" s="45" t="s">
        <v>38</v>
      </c>
      <c r="B38" s="45"/>
      <c r="C38" s="45"/>
      <c r="D38" s="45"/>
      <c r="E38" s="45"/>
      <c r="F38" s="45"/>
      <c r="G38" s="45"/>
      <c r="H38" s="45"/>
    </row>
    <row r="39" s="1" customFormat="1" ht="44.3" customHeight="1" spans="1:8">
      <c r="A39" s="46" t="s">
        <v>39</v>
      </c>
      <c r="B39" s="46"/>
      <c r="C39" s="46"/>
      <c r="D39" s="46"/>
      <c r="E39" s="46"/>
      <c r="F39" s="46"/>
      <c r="G39" s="46"/>
      <c r="H39" s="46"/>
    </row>
    <row r="40" s="1" customFormat="1" ht="49.15" customHeight="1" spans="1:8">
      <c r="A40" s="47" t="s">
        <v>40</v>
      </c>
      <c r="B40" s="47"/>
      <c r="C40" s="47"/>
      <c r="D40" s="47"/>
      <c r="E40" s="47"/>
      <c r="F40" s="47"/>
      <c r="G40" s="47"/>
      <c r="H40" s="47"/>
    </row>
    <row r="41" s="1" customFormat="1" ht="52.9" customHeight="1" spans="1:8">
      <c r="A41" s="45" t="s">
        <v>41</v>
      </c>
      <c r="B41" s="45"/>
      <c r="C41" s="45"/>
      <c r="D41" s="45"/>
      <c r="E41" s="45"/>
      <c r="F41" s="45"/>
      <c r="G41" s="45"/>
      <c r="H41" s="45"/>
    </row>
    <row r="42" s="1" customFormat="1" ht="41.95" customHeight="1" spans="1:8">
      <c r="A42" s="48" t="s">
        <v>42</v>
      </c>
      <c r="B42" s="48"/>
      <c r="C42" s="48"/>
      <c r="D42" s="48"/>
      <c r="E42" s="48"/>
      <c r="F42" s="48"/>
      <c r="G42" s="48"/>
      <c r="H42" s="48"/>
    </row>
    <row r="43" s="1" customFormat="1" ht="70.45" customHeight="1" spans="1:8">
      <c r="A43" s="49" t="s">
        <v>43</v>
      </c>
      <c r="B43" s="49"/>
      <c r="C43" s="49"/>
      <c r="D43" s="49"/>
      <c r="E43" s="49"/>
      <c r="F43" s="49"/>
      <c r="G43" s="49"/>
      <c r="H43" s="49"/>
    </row>
  </sheetData>
  <mergeCells count="24">
    <mergeCell ref="C1:H1"/>
    <mergeCell ref="C2:H2"/>
    <mergeCell ref="C3:H3"/>
    <mergeCell ref="C4:H4"/>
    <mergeCell ref="C5:H5"/>
    <mergeCell ref="B6:H6"/>
    <mergeCell ref="C8:H8"/>
    <mergeCell ref="B15:H15"/>
    <mergeCell ref="I17:K17"/>
    <mergeCell ref="A29:E29"/>
    <mergeCell ref="A32:H32"/>
    <mergeCell ref="A33:H33"/>
    <mergeCell ref="A34:H34"/>
    <mergeCell ref="A35:H35"/>
    <mergeCell ref="A36:H36"/>
    <mergeCell ref="A37:H37"/>
    <mergeCell ref="A38:H38"/>
    <mergeCell ref="A39:H39"/>
    <mergeCell ref="A40:H40"/>
    <mergeCell ref="A41:H41"/>
    <mergeCell ref="A42:H42"/>
    <mergeCell ref="A43:H43"/>
    <mergeCell ref="A1:A3"/>
    <mergeCell ref="B1:B3"/>
  </mergeCells>
  <pageMargins left="0.7" right="0.7" top="0.75" bottom="0.75" header="0.3" footer="0.3"/>
  <pageSetup paperSize="9" orientation="portrait"/>
  <headerFooter>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opLeftCell="A8" workbookViewId="0">
      <selection activeCell="I12" sqref="I12"/>
    </sheetView>
  </sheetViews>
  <sheetFormatPr defaultColWidth="8.66666666666667" defaultRowHeight="15"/>
  <cols>
    <col min="1" max="1" width="7.66666666666667" customWidth="1"/>
    <col min="2" max="2" width="35" customWidth="1"/>
    <col min="3" max="3" width="16" customWidth="1"/>
    <col min="4" max="4" width="12.3333333333333" customWidth="1"/>
    <col min="5" max="5" width="20.4380952380952" customWidth="1"/>
    <col min="6" max="6" width="12.6666666666667" customWidth="1"/>
    <col min="7" max="7" width="19.1047619047619" customWidth="1"/>
    <col min="8" max="8" width="36.6666666666667" customWidth="1"/>
    <col min="9" max="9" width="13.4380952380952" customWidth="1"/>
    <col min="10" max="10" width="13.1047619047619" customWidth="1"/>
    <col min="12" max="12" width="14.4380952380952" customWidth="1"/>
    <col min="14" max="14" width="14.6666666666667" customWidth="1"/>
    <col min="17" max="17" width="16" customWidth="1"/>
  </cols>
  <sheetData>
    <row r="1" s="1" customFormat="1" ht="58.55" customHeight="1" spans="1:8">
      <c r="A1" s="2"/>
      <c r="B1" s="2"/>
      <c r="C1" s="3" t="s">
        <v>0</v>
      </c>
      <c r="D1" s="4"/>
      <c r="E1" s="4"/>
      <c r="F1" s="4"/>
      <c r="G1" s="4"/>
      <c r="H1" s="4"/>
    </row>
    <row r="2" s="1" customFormat="1" ht="24.75" customHeight="1" spans="1:8">
      <c r="A2" s="2"/>
      <c r="B2" s="2"/>
      <c r="C2" s="5" t="s">
        <v>1</v>
      </c>
      <c r="D2" s="5"/>
      <c r="E2" s="5"/>
      <c r="F2" s="5"/>
      <c r="G2" s="5"/>
      <c r="H2" s="5"/>
    </row>
    <row r="3" s="1" customFormat="1" ht="21.8" customHeight="1" spans="1:8">
      <c r="A3" s="2"/>
      <c r="B3" s="2"/>
      <c r="C3" s="5" t="s">
        <v>2</v>
      </c>
      <c r="D3" s="5"/>
      <c r="E3" s="5"/>
      <c r="F3" s="5"/>
      <c r="G3" s="5"/>
      <c r="H3" s="5"/>
    </row>
    <row r="4" s="1" customFormat="1" ht="18.75" spans="1:8">
      <c r="A4" s="2"/>
      <c r="B4" s="2"/>
      <c r="C4" s="5" t="s">
        <v>3</v>
      </c>
      <c r="D4" s="5"/>
      <c r="E4" s="5"/>
      <c r="F4" s="5"/>
      <c r="G4" s="5"/>
      <c r="H4" s="5"/>
    </row>
    <row r="5" s="1" customFormat="1" ht="18.75" spans="1:8">
      <c r="A5" s="2"/>
      <c r="B5" s="2"/>
      <c r="C5" s="5" t="s">
        <v>4</v>
      </c>
      <c r="D5" s="5"/>
      <c r="E5" s="5"/>
      <c r="F5" s="5"/>
      <c r="G5" s="5"/>
      <c r="H5" s="5"/>
    </row>
    <row r="6" s="1" customFormat="1" ht="58.55" customHeight="1" spans="1:8">
      <c r="A6" s="2"/>
      <c r="B6" s="6" t="s">
        <v>5</v>
      </c>
      <c r="C6" s="7"/>
      <c r="D6" s="7"/>
      <c r="E6" s="7"/>
      <c r="F6" s="7"/>
      <c r="G6" s="7"/>
      <c r="H6" s="7"/>
    </row>
    <row r="7" s="1" customFormat="1" ht="27.1" customHeight="1" spans="1:8">
      <c r="A7" s="2"/>
      <c r="B7" s="8"/>
      <c r="C7" s="8"/>
      <c r="D7" s="8"/>
      <c r="E7" s="8"/>
      <c r="F7" s="8"/>
      <c r="G7" s="8"/>
      <c r="H7" s="8"/>
    </row>
    <row r="8" s="1" customFormat="1" ht="27.1" customHeight="1" spans="1:8">
      <c r="A8" s="9" t="s">
        <v>6</v>
      </c>
      <c r="B8" s="10"/>
      <c r="C8" s="11" t="s">
        <v>44</v>
      </c>
      <c r="D8" s="11"/>
      <c r="E8" s="11"/>
      <c r="F8" s="11"/>
      <c r="G8" s="11"/>
      <c r="H8" s="11"/>
    </row>
    <row r="9" s="1" customFormat="1" ht="23.35" customHeight="1" spans="1:8">
      <c r="A9" s="12" t="s">
        <v>7</v>
      </c>
      <c r="B9" s="12"/>
      <c r="C9" s="9" t="s">
        <v>45</v>
      </c>
      <c r="D9" s="2"/>
      <c r="E9" s="2"/>
      <c r="F9" s="2"/>
      <c r="G9" s="2"/>
      <c r="H9" s="2"/>
    </row>
    <row r="10" s="1" customFormat="1" ht="27.1" customHeight="1" spans="1:8">
      <c r="A10" s="12"/>
      <c r="B10" s="12"/>
      <c r="C10" s="2"/>
      <c r="D10" s="2"/>
      <c r="E10" s="2"/>
      <c r="F10" s="2"/>
      <c r="G10" s="2"/>
      <c r="H10" s="2"/>
    </row>
    <row r="11" s="1" customFormat="1" ht="27.7" customHeight="1" spans="1:8">
      <c r="A11" s="12" t="s">
        <v>46</v>
      </c>
      <c r="B11" s="12"/>
      <c r="C11" s="2"/>
      <c r="D11" s="2"/>
      <c r="E11" s="12" t="s">
        <v>9</v>
      </c>
      <c r="F11" s="12"/>
      <c r="G11" s="13"/>
      <c r="H11" s="12" t="s">
        <v>47</v>
      </c>
    </row>
    <row r="12" s="1" customFormat="1" ht="23.35" customHeight="1" spans="1:10">
      <c r="A12" s="12" t="s">
        <v>48</v>
      </c>
      <c r="B12" s="12"/>
      <c r="C12" s="2"/>
      <c r="D12" s="2"/>
      <c r="E12" s="14" t="s">
        <v>11</v>
      </c>
      <c r="F12" s="13"/>
      <c r="G12" s="13"/>
      <c r="H12" s="12" t="s">
        <v>49</v>
      </c>
      <c r="J12" s="50"/>
    </row>
    <row r="13" s="1" customFormat="1" ht="27.1" customHeight="1" spans="1:10">
      <c r="A13" s="12" t="s">
        <v>50</v>
      </c>
      <c r="B13" s="12"/>
      <c r="C13" s="2"/>
      <c r="D13" s="2"/>
      <c r="E13" s="2" t="s">
        <v>51</v>
      </c>
      <c r="F13" s="9"/>
      <c r="G13" s="2"/>
      <c r="H13" s="15"/>
      <c r="J13" s="50"/>
    </row>
    <row r="14" s="1" customFormat="1" ht="19.9" customHeight="1" spans="1:10">
      <c r="A14" s="12"/>
      <c r="B14" s="12"/>
      <c r="C14" s="2"/>
      <c r="D14" s="2"/>
      <c r="E14" s="9"/>
      <c r="F14" s="9"/>
      <c r="G14" s="2"/>
      <c r="H14" s="2"/>
      <c r="J14" s="50"/>
    </row>
    <row r="15" s="1" customFormat="1" ht="21" spans="2:10">
      <c r="B15" s="16"/>
      <c r="C15" s="16"/>
      <c r="D15" s="16"/>
      <c r="E15" s="16"/>
      <c r="F15" s="16"/>
      <c r="G15" s="16"/>
      <c r="H15" s="16"/>
      <c r="J15" s="50"/>
    </row>
    <row r="16" s="1" customFormat="1" ht="55.6" customHeight="1" spans="1:14">
      <c r="A16" s="17" t="s">
        <v>14</v>
      </c>
      <c r="B16" s="18" t="s">
        <v>15</v>
      </c>
      <c r="C16" s="18" t="s">
        <v>16</v>
      </c>
      <c r="D16" s="18" t="s">
        <v>17</v>
      </c>
      <c r="E16" s="18" t="s">
        <v>18</v>
      </c>
      <c r="F16" s="18" t="s">
        <v>19</v>
      </c>
      <c r="G16" s="18" t="s">
        <v>20</v>
      </c>
      <c r="H16" s="19" t="s">
        <v>21</v>
      </c>
      <c r="J16" s="50"/>
      <c r="L16" s="51"/>
      <c r="N16" s="52"/>
    </row>
    <row r="17" s="1" customFormat="1" ht="48.05" customHeight="1" spans="1:11">
      <c r="A17" s="20">
        <v>1</v>
      </c>
      <c r="B17" s="21" t="s">
        <v>52</v>
      </c>
      <c r="C17" s="22" t="s">
        <v>53</v>
      </c>
      <c r="D17" s="23">
        <v>1</v>
      </c>
      <c r="E17" s="24">
        <v>2700</v>
      </c>
      <c r="F17" s="24">
        <v>0</v>
      </c>
      <c r="G17" s="24">
        <f>E17</f>
        <v>2700</v>
      </c>
      <c r="H17" s="25" t="s">
        <v>54</v>
      </c>
      <c r="I17" s="55"/>
      <c r="J17" s="56"/>
      <c r="K17" s="56"/>
    </row>
    <row r="18" s="1" customFormat="1" ht="53.25" customHeight="1" spans="1:10">
      <c r="A18" s="26" t="s">
        <v>14</v>
      </c>
      <c r="B18" s="27" t="s">
        <v>22</v>
      </c>
      <c r="C18" s="28" t="s">
        <v>23</v>
      </c>
      <c r="D18" s="18" t="s">
        <v>24</v>
      </c>
      <c r="E18" s="27" t="s">
        <v>25</v>
      </c>
      <c r="F18" s="28" t="s">
        <v>26</v>
      </c>
      <c r="G18" s="28"/>
      <c r="H18" s="29" t="s">
        <v>27</v>
      </c>
      <c r="J18" s="50"/>
    </row>
    <row r="19" s="1" customFormat="1" ht="32.25" customHeight="1" spans="1:10">
      <c r="A19" s="30">
        <v>3</v>
      </c>
      <c r="B19" s="31" t="s">
        <v>55</v>
      </c>
      <c r="C19" s="32" t="s">
        <v>56</v>
      </c>
      <c r="D19" s="22">
        <v>1</v>
      </c>
      <c r="E19" s="33">
        <v>35</v>
      </c>
      <c r="F19" s="33">
        <f>E19*0.08</f>
        <v>2.8</v>
      </c>
      <c r="G19" s="33">
        <f>E19+F19</f>
        <v>37.8</v>
      </c>
      <c r="H19" s="34"/>
      <c r="J19" s="50"/>
    </row>
    <row r="20" s="1" customFormat="1" ht="29" customHeight="1" spans="1:10">
      <c r="A20" s="20">
        <v>3</v>
      </c>
      <c r="B20" s="35" t="s">
        <v>57</v>
      </c>
      <c r="C20" s="32" t="s">
        <v>58</v>
      </c>
      <c r="D20" s="22">
        <v>1</v>
      </c>
      <c r="E20" s="33">
        <v>240</v>
      </c>
      <c r="F20" s="33">
        <f t="shared" ref="F20:F28" si="0">E20*0.08</f>
        <v>19.2</v>
      </c>
      <c r="G20" s="33">
        <f>(E20+F20)*D20</f>
        <v>259.2</v>
      </c>
      <c r="H20" s="36"/>
      <c r="J20" s="50"/>
    </row>
    <row r="21" s="1" customFormat="1" ht="21.8" customHeight="1" spans="1:10">
      <c r="A21" s="30">
        <v>4</v>
      </c>
      <c r="B21" s="35" t="s">
        <v>59</v>
      </c>
      <c r="C21" s="32" t="s">
        <v>58</v>
      </c>
      <c r="D21" s="22">
        <v>1</v>
      </c>
      <c r="E21" s="33">
        <v>10</v>
      </c>
      <c r="F21" s="33">
        <f t="shared" si="0"/>
        <v>0.8</v>
      </c>
      <c r="G21" s="33">
        <f>(E21+F21)*D21</f>
        <v>10.8</v>
      </c>
      <c r="H21" s="36"/>
      <c r="J21" s="51"/>
    </row>
    <row r="22" s="1" customFormat="1" ht="21.8" customHeight="1" spans="1:10">
      <c r="A22" s="20">
        <v>5</v>
      </c>
      <c r="B22" s="35" t="s">
        <v>60</v>
      </c>
      <c r="C22" s="32" t="s">
        <v>58</v>
      </c>
      <c r="D22" s="22">
        <v>1</v>
      </c>
      <c r="E22" s="33">
        <v>35</v>
      </c>
      <c r="F22" s="33">
        <f t="shared" si="0"/>
        <v>2.8</v>
      </c>
      <c r="G22" s="33">
        <f>(E22+F22)*D22</f>
        <v>37.8</v>
      </c>
      <c r="H22" s="36"/>
      <c r="J22" s="51"/>
    </row>
    <row r="23" s="1" customFormat="1" ht="21.8" customHeight="1" spans="1:10">
      <c r="A23" s="30">
        <v>6</v>
      </c>
      <c r="B23" s="35" t="s">
        <v>61</v>
      </c>
      <c r="C23" s="32" t="s">
        <v>58</v>
      </c>
      <c r="D23" s="22">
        <v>1</v>
      </c>
      <c r="E23" s="33">
        <v>35</v>
      </c>
      <c r="F23" s="33">
        <f t="shared" si="0"/>
        <v>2.8</v>
      </c>
      <c r="G23" s="33">
        <f>(E23+F23)*D23</f>
        <v>37.8</v>
      </c>
      <c r="H23" s="36"/>
      <c r="J23" s="51"/>
    </row>
    <row r="24" s="1" customFormat="1" ht="21.8" customHeight="1" spans="1:10">
      <c r="A24" s="20">
        <v>7</v>
      </c>
      <c r="B24" s="35" t="s">
        <v>62</v>
      </c>
      <c r="C24" s="32" t="s">
        <v>58</v>
      </c>
      <c r="D24" s="22">
        <v>1</v>
      </c>
      <c r="E24" s="33">
        <v>280</v>
      </c>
      <c r="F24" s="33">
        <f t="shared" si="0"/>
        <v>22.4</v>
      </c>
      <c r="G24" s="33">
        <f>(E24+F24)*D24</f>
        <v>302.4</v>
      </c>
      <c r="H24" s="36"/>
      <c r="J24" s="51"/>
    </row>
    <row r="25" s="1" customFormat="1" ht="21.8" customHeight="1" spans="1:10">
      <c r="A25" s="30">
        <v>8</v>
      </c>
      <c r="B25" s="35" t="s">
        <v>63</v>
      </c>
      <c r="C25" s="32" t="s">
        <v>58</v>
      </c>
      <c r="D25" s="22">
        <v>1</v>
      </c>
      <c r="E25" s="54" t="s">
        <v>64</v>
      </c>
      <c r="F25" s="33" t="s">
        <v>64</v>
      </c>
      <c r="G25" s="33" t="s">
        <v>64</v>
      </c>
      <c r="H25" s="37" t="s">
        <v>65</v>
      </c>
      <c r="J25" s="51"/>
    </row>
    <row r="26" s="1" customFormat="1" ht="21.8" customHeight="1" spans="1:10">
      <c r="A26" s="20">
        <v>9</v>
      </c>
      <c r="B26" s="35" t="s">
        <v>66</v>
      </c>
      <c r="C26" s="32" t="s">
        <v>58</v>
      </c>
      <c r="D26" s="22">
        <v>1</v>
      </c>
      <c r="E26" s="33">
        <v>25</v>
      </c>
      <c r="F26" s="33">
        <f t="shared" si="0"/>
        <v>2</v>
      </c>
      <c r="G26" s="33">
        <f t="shared" ref="G26" si="1">(E26+F26)*D26</f>
        <v>27</v>
      </c>
      <c r="H26" s="36"/>
      <c r="J26" s="51"/>
    </row>
    <row r="27" s="1" customFormat="1" ht="21.8" customHeight="1" spans="1:10">
      <c r="A27" s="30">
        <v>10</v>
      </c>
      <c r="B27" s="35" t="s">
        <v>67</v>
      </c>
      <c r="C27" s="32" t="s">
        <v>58</v>
      </c>
      <c r="D27" s="22">
        <v>1</v>
      </c>
      <c r="E27" s="33">
        <v>35</v>
      </c>
      <c r="F27" s="33">
        <f t="shared" si="0"/>
        <v>2.8</v>
      </c>
      <c r="G27" s="33">
        <f>E27+F27</f>
        <v>37.8</v>
      </c>
      <c r="H27" s="36"/>
      <c r="J27" s="51"/>
    </row>
    <row r="28" s="1" customFormat="1" ht="21.8" customHeight="1" spans="1:10">
      <c r="A28" s="20">
        <v>12</v>
      </c>
      <c r="B28" s="35" t="s">
        <v>68</v>
      </c>
      <c r="C28" s="32" t="s">
        <v>58</v>
      </c>
      <c r="D28" s="22">
        <v>1</v>
      </c>
      <c r="E28" s="33">
        <v>50</v>
      </c>
      <c r="F28" s="33">
        <f t="shared" si="0"/>
        <v>4</v>
      </c>
      <c r="G28" s="33">
        <f>E28+F28</f>
        <v>54</v>
      </c>
      <c r="H28" s="36"/>
      <c r="J28" s="51"/>
    </row>
    <row r="29" s="1" customFormat="1" ht="41.35" customHeight="1" spans="1:10">
      <c r="A29" s="38" t="s">
        <v>28</v>
      </c>
      <c r="B29" s="39"/>
      <c r="C29" s="39"/>
      <c r="D29" s="39"/>
      <c r="E29" s="39"/>
      <c r="F29" s="40" t="s">
        <v>29</v>
      </c>
      <c r="G29" s="41">
        <f>SUM(G17:G28)</f>
        <v>3504.6</v>
      </c>
      <c r="H29" s="42" t="s">
        <v>30</v>
      </c>
      <c r="J29" s="51"/>
    </row>
    <row r="30" s="1" customFormat="1" ht="21.8" customHeight="1" spans="10:12">
      <c r="J30" s="51"/>
      <c r="L30" s="51"/>
    </row>
    <row r="31" s="1" customFormat="1" ht="18.75" spans="1:2">
      <c r="A31" s="43" t="s">
        <v>31</v>
      </c>
      <c r="B31" s="44"/>
    </row>
    <row r="32" s="1" customFormat="1" ht="48.05" customHeight="1" spans="1:8">
      <c r="A32" s="45" t="s">
        <v>32</v>
      </c>
      <c r="B32" s="45"/>
      <c r="C32" s="45"/>
      <c r="D32" s="45"/>
      <c r="E32" s="45"/>
      <c r="F32" s="45"/>
      <c r="G32" s="45"/>
      <c r="H32" s="45"/>
    </row>
    <row r="33" s="1" customFormat="1" ht="48.05" customHeight="1" spans="1:8">
      <c r="A33" s="45" t="s">
        <v>33</v>
      </c>
      <c r="B33" s="45"/>
      <c r="C33" s="45"/>
      <c r="D33" s="45"/>
      <c r="E33" s="45"/>
      <c r="F33" s="45"/>
      <c r="G33" s="45"/>
      <c r="H33" s="45"/>
    </row>
    <row r="34" s="1" customFormat="1" ht="93" customHeight="1" spans="1:8">
      <c r="A34" s="45" t="s">
        <v>34</v>
      </c>
      <c r="B34" s="45"/>
      <c r="C34" s="45"/>
      <c r="D34" s="45"/>
      <c r="E34" s="45"/>
      <c r="F34" s="45"/>
      <c r="G34" s="45"/>
      <c r="H34" s="45"/>
    </row>
    <row r="35" s="1" customFormat="1" ht="88.45" customHeight="1" spans="1:8">
      <c r="A35" s="45" t="s">
        <v>35</v>
      </c>
      <c r="B35" s="45"/>
      <c r="C35" s="45"/>
      <c r="D35" s="45"/>
      <c r="E35" s="45"/>
      <c r="F35" s="45"/>
      <c r="G35" s="45"/>
      <c r="H35" s="45"/>
    </row>
    <row r="36" s="1" customFormat="1" ht="50.25" customHeight="1" spans="1:8">
      <c r="A36" s="45" t="s">
        <v>36</v>
      </c>
      <c r="B36" s="45"/>
      <c r="C36" s="45"/>
      <c r="D36" s="45"/>
      <c r="E36" s="45"/>
      <c r="F36" s="45"/>
      <c r="G36" s="45"/>
      <c r="H36" s="45"/>
    </row>
    <row r="37" s="1" customFormat="1" ht="47.3" customHeight="1" spans="1:8">
      <c r="A37" s="45" t="s">
        <v>37</v>
      </c>
      <c r="B37" s="45"/>
      <c r="C37" s="45"/>
      <c r="D37" s="45"/>
      <c r="E37" s="45"/>
      <c r="F37" s="45"/>
      <c r="G37" s="45"/>
      <c r="H37" s="45"/>
    </row>
    <row r="38" s="1" customFormat="1" ht="49.5" customHeight="1" spans="1:8">
      <c r="A38" s="45" t="s">
        <v>38</v>
      </c>
      <c r="B38" s="45"/>
      <c r="C38" s="45"/>
      <c r="D38" s="45"/>
      <c r="E38" s="45"/>
      <c r="F38" s="45"/>
      <c r="G38" s="45"/>
      <c r="H38" s="45"/>
    </row>
    <row r="39" s="1" customFormat="1" ht="44.3" customHeight="1" spans="1:8">
      <c r="A39" s="46" t="s">
        <v>69</v>
      </c>
      <c r="B39" s="46"/>
      <c r="C39" s="46"/>
      <c r="D39" s="46"/>
      <c r="E39" s="46"/>
      <c r="F39" s="46"/>
      <c r="G39" s="46"/>
      <c r="H39" s="46"/>
    </row>
    <row r="40" s="1" customFormat="1" ht="49.15" customHeight="1" spans="1:8">
      <c r="A40" s="47" t="s">
        <v>40</v>
      </c>
      <c r="B40" s="47"/>
      <c r="C40" s="47"/>
      <c r="D40" s="47"/>
      <c r="E40" s="47"/>
      <c r="F40" s="47"/>
      <c r="G40" s="47"/>
      <c r="H40" s="47"/>
    </row>
    <row r="41" s="1" customFormat="1" ht="52.9" customHeight="1" spans="1:8">
      <c r="A41" s="45" t="s">
        <v>41</v>
      </c>
      <c r="B41" s="45"/>
      <c r="C41" s="45"/>
      <c r="D41" s="45"/>
      <c r="E41" s="45"/>
      <c r="F41" s="45"/>
      <c r="G41" s="45"/>
      <c r="H41" s="45"/>
    </row>
    <row r="42" s="1" customFormat="1" ht="41.95" customHeight="1" spans="1:8">
      <c r="A42" s="48" t="s">
        <v>42</v>
      </c>
      <c r="B42" s="48"/>
      <c r="C42" s="48"/>
      <c r="D42" s="48"/>
      <c r="E42" s="48"/>
      <c r="F42" s="48"/>
      <c r="G42" s="48"/>
      <c r="H42" s="48"/>
    </row>
    <row r="43" s="1" customFormat="1" ht="70.45" customHeight="1" spans="1:8">
      <c r="A43" s="49" t="s">
        <v>43</v>
      </c>
      <c r="B43" s="49"/>
      <c r="C43" s="49"/>
      <c r="D43" s="49"/>
      <c r="E43" s="49"/>
      <c r="F43" s="49"/>
      <c r="G43" s="49"/>
      <c r="H43" s="49"/>
    </row>
  </sheetData>
  <mergeCells count="24">
    <mergeCell ref="C1:H1"/>
    <mergeCell ref="C2:H2"/>
    <mergeCell ref="C3:H3"/>
    <mergeCell ref="C4:H4"/>
    <mergeCell ref="C5:H5"/>
    <mergeCell ref="B6:H6"/>
    <mergeCell ref="C8:H8"/>
    <mergeCell ref="B15:H15"/>
    <mergeCell ref="I17:K17"/>
    <mergeCell ref="A29:E29"/>
    <mergeCell ref="A32:H32"/>
    <mergeCell ref="A33:H33"/>
    <mergeCell ref="A34:H34"/>
    <mergeCell ref="A35:H35"/>
    <mergeCell ref="A36:H36"/>
    <mergeCell ref="A37:H37"/>
    <mergeCell ref="A38:H38"/>
    <mergeCell ref="A39:H39"/>
    <mergeCell ref="A40:H40"/>
    <mergeCell ref="A41:H41"/>
    <mergeCell ref="A42:H42"/>
    <mergeCell ref="A43:H43"/>
    <mergeCell ref="A1:A3"/>
    <mergeCell ref="B1:B3"/>
  </mergeCells>
  <pageMargins left="0.7" right="0.7" top="0.75" bottom="0.75" header="0.3" footer="0.3"/>
  <pageSetup paperSize="9" orientation="portrait"/>
  <headerFooter>
    <oddHeader>&amp;C&amp;G</oddHeader>
  </headerFooter>
  <drawing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opLeftCell="A7" workbookViewId="0">
      <selection activeCell="H13" sqref="H13"/>
    </sheetView>
  </sheetViews>
  <sheetFormatPr defaultColWidth="8.66666666666667" defaultRowHeight="15"/>
  <cols>
    <col min="1" max="1" width="7.66666666666667" customWidth="1"/>
    <col min="2" max="2" width="35" customWidth="1"/>
    <col min="3" max="3" width="16" customWidth="1"/>
    <col min="4" max="4" width="21" customWidth="1"/>
    <col min="5" max="5" width="20.4380952380952" customWidth="1"/>
    <col min="6" max="6" width="12.6666666666667" customWidth="1"/>
    <col min="7" max="7" width="19.1047619047619" customWidth="1"/>
    <col min="8" max="8" width="43" customWidth="1"/>
    <col min="9" max="9" width="20.3333333333333" customWidth="1"/>
    <col min="10" max="10" width="13.1047619047619" customWidth="1"/>
    <col min="12" max="12" width="14.4380952380952" customWidth="1"/>
    <col min="14" max="14" width="14.6666666666667" customWidth="1"/>
    <col min="17" max="17" width="16" customWidth="1"/>
  </cols>
  <sheetData>
    <row r="1" s="1" customFormat="1" ht="58.55" customHeight="1" spans="1:8">
      <c r="A1" s="2"/>
      <c r="B1" s="2"/>
      <c r="C1" s="3" t="s">
        <v>0</v>
      </c>
      <c r="D1" s="4"/>
      <c r="E1" s="4"/>
      <c r="F1" s="4"/>
      <c r="G1" s="4"/>
      <c r="H1" s="4"/>
    </row>
    <row r="2" s="1" customFormat="1" ht="24.75" customHeight="1" spans="1:8">
      <c r="A2" s="2"/>
      <c r="B2" s="2"/>
      <c r="C2" s="5" t="s">
        <v>1</v>
      </c>
      <c r="D2" s="5"/>
      <c r="E2" s="5"/>
      <c r="F2" s="5"/>
      <c r="G2" s="5"/>
      <c r="H2" s="5"/>
    </row>
    <row r="3" s="1" customFormat="1" ht="21.8" customHeight="1" spans="1:8">
      <c r="A3" s="2"/>
      <c r="B3" s="2"/>
      <c r="C3" s="5" t="s">
        <v>2</v>
      </c>
      <c r="D3" s="5"/>
      <c r="E3" s="5"/>
      <c r="F3" s="5"/>
      <c r="G3" s="5"/>
      <c r="H3" s="5"/>
    </row>
    <row r="4" s="1" customFormat="1" ht="18.75" spans="1:8">
      <c r="A4" s="2"/>
      <c r="B4" s="2"/>
      <c r="C4" s="5" t="s">
        <v>3</v>
      </c>
      <c r="D4" s="5"/>
      <c r="E4" s="5"/>
      <c r="F4" s="5"/>
      <c r="G4" s="5"/>
      <c r="H4" s="5"/>
    </row>
    <row r="5" s="1" customFormat="1" ht="18.75" spans="1:8">
      <c r="A5" s="2"/>
      <c r="B5" s="2"/>
      <c r="C5" s="5" t="s">
        <v>4</v>
      </c>
      <c r="D5" s="5"/>
      <c r="E5" s="5"/>
      <c r="F5" s="5"/>
      <c r="G5" s="5"/>
      <c r="H5" s="5"/>
    </row>
    <row r="6" s="1" customFormat="1" ht="58.55" customHeight="1" spans="1:8">
      <c r="A6" s="2"/>
      <c r="B6" s="6" t="s">
        <v>5</v>
      </c>
      <c r="C6" s="7"/>
      <c r="D6" s="7"/>
      <c r="E6" s="7"/>
      <c r="F6" s="7"/>
      <c r="G6" s="7"/>
      <c r="H6" s="7"/>
    </row>
    <row r="7" s="1" customFormat="1" ht="27.1" customHeight="1" spans="1:8">
      <c r="A7" s="2"/>
      <c r="B7" s="8"/>
      <c r="C7" s="8"/>
      <c r="D7" s="8"/>
      <c r="E7" s="8"/>
      <c r="F7" s="8"/>
      <c r="G7" s="8"/>
      <c r="H7" s="8"/>
    </row>
    <row r="8" s="1" customFormat="1" ht="27.1" customHeight="1" spans="1:8">
      <c r="A8" s="9" t="s">
        <v>6</v>
      </c>
      <c r="B8" s="10"/>
      <c r="C8" s="11" t="s">
        <v>44</v>
      </c>
      <c r="D8" s="11"/>
      <c r="E8" s="11"/>
      <c r="F8" s="11"/>
      <c r="G8" s="11"/>
      <c r="H8" s="11"/>
    </row>
    <row r="9" s="1" customFormat="1" ht="23.35" customHeight="1" spans="1:8">
      <c r="A9" s="12" t="s">
        <v>7</v>
      </c>
      <c r="B9" s="12"/>
      <c r="C9" s="9" t="s">
        <v>45</v>
      </c>
      <c r="D9" s="2"/>
      <c r="E9" s="2"/>
      <c r="F9" s="2"/>
      <c r="G9" s="2"/>
      <c r="H9" s="2"/>
    </row>
    <row r="10" s="1" customFormat="1" ht="27.1" customHeight="1" spans="1:8">
      <c r="A10" s="12"/>
      <c r="B10" s="12"/>
      <c r="C10" s="2"/>
      <c r="D10" s="2"/>
      <c r="E10" s="2"/>
      <c r="F10" s="2"/>
      <c r="G10" s="2"/>
      <c r="H10" s="2"/>
    </row>
    <row r="11" s="1" customFormat="1" ht="27.7" customHeight="1" spans="1:8">
      <c r="A11" s="12" t="s">
        <v>46</v>
      </c>
      <c r="B11" s="12"/>
      <c r="C11" s="2"/>
      <c r="D11" s="2"/>
      <c r="E11" s="12" t="s">
        <v>9</v>
      </c>
      <c r="F11" s="12"/>
      <c r="G11" s="13"/>
      <c r="H11" s="12" t="s">
        <v>47</v>
      </c>
    </row>
    <row r="12" s="1" customFormat="1" ht="23.35" customHeight="1" spans="1:10">
      <c r="A12" s="12" t="s">
        <v>70</v>
      </c>
      <c r="B12" s="12"/>
      <c r="C12" s="2"/>
      <c r="D12" s="2"/>
      <c r="E12" s="14" t="s">
        <v>11</v>
      </c>
      <c r="F12" s="13"/>
      <c r="G12" s="13"/>
      <c r="H12" s="12" t="s">
        <v>49</v>
      </c>
      <c r="J12" s="50"/>
    </row>
    <row r="13" s="1" customFormat="1" ht="27.1" customHeight="1" spans="1:10">
      <c r="A13" s="12" t="s">
        <v>71</v>
      </c>
      <c r="B13" s="12"/>
      <c r="C13" s="2"/>
      <c r="D13" s="2"/>
      <c r="E13" s="9" t="s">
        <v>51</v>
      </c>
      <c r="F13" s="9"/>
      <c r="G13" s="2"/>
      <c r="H13" s="15"/>
      <c r="J13" s="50"/>
    </row>
    <row r="14" s="1" customFormat="1" ht="19.9" customHeight="1" spans="1:10">
      <c r="A14" s="12"/>
      <c r="B14" s="12"/>
      <c r="C14" s="2"/>
      <c r="D14" s="2"/>
      <c r="E14" s="9"/>
      <c r="F14" s="9"/>
      <c r="G14" s="2"/>
      <c r="H14" s="2"/>
      <c r="J14" s="50"/>
    </row>
    <row r="15" s="1" customFormat="1" ht="21" spans="2:10">
      <c r="B15" s="16"/>
      <c r="C15" s="16"/>
      <c r="D15" s="16"/>
      <c r="E15" s="16"/>
      <c r="F15" s="16"/>
      <c r="G15" s="16"/>
      <c r="H15" s="16"/>
      <c r="J15" s="50"/>
    </row>
    <row r="16" s="1" customFormat="1" ht="55.6" customHeight="1" spans="1:14">
      <c r="A16" s="17" t="s">
        <v>14</v>
      </c>
      <c r="B16" s="18" t="s">
        <v>15</v>
      </c>
      <c r="C16" s="18" t="s">
        <v>16</v>
      </c>
      <c r="D16" s="18" t="s">
        <v>72</v>
      </c>
      <c r="E16" s="18" t="s">
        <v>18</v>
      </c>
      <c r="F16" s="18" t="s">
        <v>19</v>
      </c>
      <c r="G16" s="18" t="s">
        <v>20</v>
      </c>
      <c r="H16" s="19" t="s">
        <v>21</v>
      </c>
      <c r="J16" s="50"/>
      <c r="L16" s="51"/>
      <c r="N16" s="52"/>
    </row>
    <row r="17" s="1" customFormat="1" ht="48.05" customHeight="1" spans="1:10">
      <c r="A17" s="20">
        <v>1</v>
      </c>
      <c r="B17" s="21" t="s">
        <v>52</v>
      </c>
      <c r="C17" s="22" t="s">
        <v>53</v>
      </c>
      <c r="D17" s="23">
        <v>1</v>
      </c>
      <c r="E17" s="24">
        <v>2400</v>
      </c>
      <c r="F17" s="24">
        <v>0</v>
      </c>
      <c r="G17" s="24">
        <f>E17</f>
        <v>2400</v>
      </c>
      <c r="H17" s="25" t="s">
        <v>73</v>
      </c>
      <c r="I17" s="53"/>
      <c r="J17" s="50"/>
    </row>
    <row r="18" s="1" customFormat="1" ht="53.25" customHeight="1" spans="1:10">
      <c r="A18" s="26" t="s">
        <v>14</v>
      </c>
      <c r="B18" s="27" t="s">
        <v>22</v>
      </c>
      <c r="C18" s="28" t="s">
        <v>23</v>
      </c>
      <c r="D18" s="18" t="s">
        <v>74</v>
      </c>
      <c r="E18" s="27" t="s">
        <v>25</v>
      </c>
      <c r="F18" s="28" t="s">
        <v>26</v>
      </c>
      <c r="G18" s="28"/>
      <c r="H18" s="29" t="s">
        <v>27</v>
      </c>
      <c r="J18" s="50"/>
    </row>
    <row r="19" s="1" customFormat="1" ht="32.25" customHeight="1" spans="1:10">
      <c r="A19" s="30">
        <v>3</v>
      </c>
      <c r="B19" s="31" t="s">
        <v>55</v>
      </c>
      <c r="C19" s="32" t="s">
        <v>56</v>
      </c>
      <c r="D19" s="22">
        <v>1</v>
      </c>
      <c r="E19" s="33">
        <v>35</v>
      </c>
      <c r="F19" s="33">
        <f>E19*0.08</f>
        <v>2.8</v>
      </c>
      <c r="G19" s="33">
        <f>E19+F19</f>
        <v>37.8</v>
      </c>
      <c r="H19" s="34"/>
      <c r="J19" s="50"/>
    </row>
    <row r="20" s="1" customFormat="1" ht="29" customHeight="1" spans="1:10">
      <c r="A20" s="20">
        <v>3</v>
      </c>
      <c r="B20" s="35" t="s">
        <v>57</v>
      </c>
      <c r="C20" s="32" t="s">
        <v>58</v>
      </c>
      <c r="D20" s="22">
        <v>1</v>
      </c>
      <c r="E20" s="33">
        <v>185</v>
      </c>
      <c r="F20" s="33">
        <f t="shared" ref="F20:F28" si="0">E20*0.08</f>
        <v>14.8</v>
      </c>
      <c r="G20" s="33">
        <f>(E20+F20)*D20</f>
        <v>199.8</v>
      </c>
      <c r="H20" s="36"/>
      <c r="J20" s="50"/>
    </row>
    <row r="21" s="1" customFormat="1" ht="21.8" customHeight="1" spans="1:10">
      <c r="A21" s="30">
        <v>4</v>
      </c>
      <c r="B21" s="35" t="s">
        <v>59</v>
      </c>
      <c r="C21" s="32" t="s">
        <v>58</v>
      </c>
      <c r="D21" s="22">
        <v>1</v>
      </c>
      <c r="E21" s="33">
        <v>10</v>
      </c>
      <c r="F21" s="33">
        <f t="shared" si="0"/>
        <v>0.8</v>
      </c>
      <c r="G21" s="33">
        <f>(E21+F21)*D21</f>
        <v>10.8</v>
      </c>
      <c r="H21" s="36"/>
      <c r="J21" s="51"/>
    </row>
    <row r="22" s="1" customFormat="1" ht="21.8" customHeight="1" spans="1:10">
      <c r="A22" s="20">
        <v>5</v>
      </c>
      <c r="B22" s="35" t="s">
        <v>60</v>
      </c>
      <c r="C22" s="32" t="s">
        <v>58</v>
      </c>
      <c r="D22" s="22">
        <v>1</v>
      </c>
      <c r="E22" s="33">
        <v>35</v>
      </c>
      <c r="F22" s="33">
        <f t="shared" si="0"/>
        <v>2.8</v>
      </c>
      <c r="G22" s="33">
        <f>(E22+F22)*D22</f>
        <v>37.8</v>
      </c>
      <c r="H22" s="36"/>
      <c r="J22" s="51"/>
    </row>
    <row r="23" s="1" customFormat="1" ht="21.8" customHeight="1" spans="1:10">
      <c r="A23" s="30">
        <v>6</v>
      </c>
      <c r="B23" s="35" t="s">
        <v>61</v>
      </c>
      <c r="C23" s="32" t="s">
        <v>58</v>
      </c>
      <c r="D23" s="22">
        <v>1</v>
      </c>
      <c r="E23" s="33">
        <v>35</v>
      </c>
      <c r="F23" s="33">
        <f t="shared" si="0"/>
        <v>2.8</v>
      </c>
      <c r="G23" s="33">
        <f>(E23+F23)*D23</f>
        <v>37.8</v>
      </c>
      <c r="H23" s="36"/>
      <c r="J23" s="51"/>
    </row>
    <row r="24" s="1" customFormat="1" ht="21.8" customHeight="1" spans="1:10">
      <c r="A24" s="20">
        <v>7</v>
      </c>
      <c r="B24" s="35" t="s">
        <v>62</v>
      </c>
      <c r="C24" s="32" t="s">
        <v>58</v>
      </c>
      <c r="D24" s="22">
        <v>1</v>
      </c>
      <c r="E24" s="33">
        <v>260</v>
      </c>
      <c r="F24" s="33">
        <f t="shared" si="0"/>
        <v>20.8</v>
      </c>
      <c r="G24" s="33">
        <f>(E24+F24)*D24</f>
        <v>280.8</v>
      </c>
      <c r="H24" s="36"/>
      <c r="J24" s="51"/>
    </row>
    <row r="25" s="1" customFormat="1" ht="21.8" customHeight="1" spans="1:10">
      <c r="A25" s="30">
        <v>8</v>
      </c>
      <c r="B25" s="35" t="s">
        <v>63</v>
      </c>
      <c r="C25" s="32" t="s">
        <v>58</v>
      </c>
      <c r="D25" s="22">
        <v>1</v>
      </c>
      <c r="E25" s="33" t="s">
        <v>64</v>
      </c>
      <c r="F25" s="33" t="s">
        <v>64</v>
      </c>
      <c r="G25" s="33" t="s">
        <v>64</v>
      </c>
      <c r="H25" s="37" t="s">
        <v>65</v>
      </c>
      <c r="J25" s="51"/>
    </row>
    <row r="26" s="1" customFormat="1" ht="21.8" customHeight="1" spans="1:10">
      <c r="A26" s="20">
        <v>9</v>
      </c>
      <c r="B26" s="35" t="s">
        <v>66</v>
      </c>
      <c r="C26" s="32" t="s">
        <v>58</v>
      </c>
      <c r="D26" s="22">
        <v>1</v>
      </c>
      <c r="E26" s="33">
        <v>25</v>
      </c>
      <c r="F26" s="33">
        <f t="shared" si="0"/>
        <v>2</v>
      </c>
      <c r="G26" s="33">
        <f>(E26+F26)*D26</f>
        <v>27</v>
      </c>
      <c r="H26" s="36"/>
      <c r="J26" s="51"/>
    </row>
    <row r="27" s="1" customFormat="1" ht="21.8" customHeight="1" spans="1:10">
      <c r="A27" s="30">
        <v>10</v>
      </c>
      <c r="B27" s="35" t="s">
        <v>67</v>
      </c>
      <c r="C27" s="32" t="s">
        <v>58</v>
      </c>
      <c r="D27" s="22">
        <v>1</v>
      </c>
      <c r="E27" s="33">
        <v>35</v>
      </c>
      <c r="F27" s="33">
        <f t="shared" si="0"/>
        <v>2.8</v>
      </c>
      <c r="G27" s="33">
        <f>(E27+F27)*D27</f>
        <v>37.8</v>
      </c>
      <c r="H27" s="36"/>
      <c r="J27" s="51"/>
    </row>
    <row r="28" s="1" customFormat="1" ht="21.8" customHeight="1" spans="1:10">
      <c r="A28" s="20">
        <v>12</v>
      </c>
      <c r="B28" s="35" t="s">
        <v>68</v>
      </c>
      <c r="C28" s="32" t="s">
        <v>58</v>
      </c>
      <c r="D28" s="22">
        <v>1</v>
      </c>
      <c r="E28" s="33">
        <v>50</v>
      </c>
      <c r="F28" s="33">
        <f t="shared" si="0"/>
        <v>4</v>
      </c>
      <c r="G28" s="33">
        <f>(E28+F28)*D28</f>
        <v>54</v>
      </c>
      <c r="H28" s="36"/>
      <c r="J28" s="51"/>
    </row>
    <row r="29" s="1" customFormat="1" ht="41.35" customHeight="1" spans="1:10">
      <c r="A29" s="38" t="s">
        <v>28</v>
      </c>
      <c r="B29" s="39"/>
      <c r="C29" s="39"/>
      <c r="D29" s="39"/>
      <c r="E29" s="39"/>
      <c r="F29" s="40" t="s">
        <v>29</v>
      </c>
      <c r="G29" s="41">
        <f>SUM(G17:G28)</f>
        <v>3123.6</v>
      </c>
      <c r="H29" s="42" t="s">
        <v>30</v>
      </c>
      <c r="J29" s="51"/>
    </row>
    <row r="30" s="1" customFormat="1" ht="21.8" customHeight="1" spans="10:12">
      <c r="J30" s="51"/>
      <c r="L30" s="51"/>
    </row>
    <row r="31" s="1" customFormat="1" ht="18.75" spans="1:2">
      <c r="A31" s="43" t="s">
        <v>31</v>
      </c>
      <c r="B31" s="44"/>
    </row>
    <row r="32" s="1" customFormat="1" ht="48.05" customHeight="1" spans="1:8">
      <c r="A32" s="45" t="s">
        <v>32</v>
      </c>
      <c r="B32" s="45"/>
      <c r="C32" s="45"/>
      <c r="D32" s="45"/>
      <c r="E32" s="45"/>
      <c r="F32" s="45"/>
      <c r="G32" s="45"/>
      <c r="H32" s="45"/>
    </row>
    <row r="33" s="1" customFormat="1" ht="48.05" customHeight="1" spans="1:8">
      <c r="A33" s="45" t="s">
        <v>33</v>
      </c>
      <c r="B33" s="45"/>
      <c r="C33" s="45"/>
      <c r="D33" s="45"/>
      <c r="E33" s="45"/>
      <c r="F33" s="45"/>
      <c r="G33" s="45"/>
      <c r="H33" s="45"/>
    </row>
    <row r="34" s="1" customFormat="1" ht="93" customHeight="1" spans="1:8">
      <c r="A34" s="45" t="s">
        <v>34</v>
      </c>
      <c r="B34" s="45"/>
      <c r="C34" s="45"/>
      <c r="D34" s="45"/>
      <c r="E34" s="45"/>
      <c r="F34" s="45"/>
      <c r="G34" s="45"/>
      <c r="H34" s="45"/>
    </row>
    <row r="35" s="1" customFormat="1" ht="88.45" customHeight="1" spans="1:8">
      <c r="A35" s="45" t="s">
        <v>35</v>
      </c>
      <c r="B35" s="45"/>
      <c r="C35" s="45"/>
      <c r="D35" s="45"/>
      <c r="E35" s="45"/>
      <c r="F35" s="45"/>
      <c r="G35" s="45"/>
      <c r="H35" s="45"/>
    </row>
    <row r="36" s="1" customFormat="1" ht="50.25" customHeight="1" spans="1:8">
      <c r="A36" s="45" t="s">
        <v>36</v>
      </c>
      <c r="B36" s="45"/>
      <c r="C36" s="45"/>
      <c r="D36" s="45"/>
      <c r="E36" s="45"/>
      <c r="F36" s="45"/>
      <c r="G36" s="45"/>
      <c r="H36" s="45"/>
    </row>
    <row r="37" s="1" customFormat="1" ht="47.3" customHeight="1" spans="1:8">
      <c r="A37" s="45" t="s">
        <v>75</v>
      </c>
      <c r="B37" s="45"/>
      <c r="C37" s="45"/>
      <c r="D37" s="45"/>
      <c r="E37" s="45"/>
      <c r="F37" s="45"/>
      <c r="G37" s="45"/>
      <c r="H37" s="45"/>
    </row>
    <row r="38" s="1" customFormat="1" ht="49.5" customHeight="1" spans="1:8">
      <c r="A38" s="45" t="s">
        <v>38</v>
      </c>
      <c r="B38" s="45"/>
      <c r="C38" s="45"/>
      <c r="D38" s="45"/>
      <c r="E38" s="45"/>
      <c r="F38" s="45"/>
      <c r="G38" s="45"/>
      <c r="H38" s="45"/>
    </row>
    <row r="39" s="1" customFormat="1" ht="44.3" customHeight="1" spans="1:8">
      <c r="A39" s="46" t="s">
        <v>69</v>
      </c>
      <c r="B39" s="46"/>
      <c r="C39" s="46"/>
      <c r="D39" s="46"/>
      <c r="E39" s="46"/>
      <c r="F39" s="46"/>
      <c r="G39" s="46"/>
      <c r="H39" s="46"/>
    </row>
    <row r="40" s="1" customFormat="1" ht="49.15" customHeight="1" spans="1:8">
      <c r="A40" s="47" t="s">
        <v>40</v>
      </c>
      <c r="B40" s="47"/>
      <c r="C40" s="47"/>
      <c r="D40" s="47"/>
      <c r="E40" s="47"/>
      <c r="F40" s="47"/>
      <c r="G40" s="47"/>
      <c r="H40" s="47"/>
    </row>
    <row r="41" s="1" customFormat="1" ht="52.9" customHeight="1" spans="1:8">
      <c r="A41" s="45" t="s">
        <v>41</v>
      </c>
      <c r="B41" s="45"/>
      <c r="C41" s="45"/>
      <c r="D41" s="45"/>
      <c r="E41" s="45"/>
      <c r="F41" s="45"/>
      <c r="G41" s="45"/>
      <c r="H41" s="45"/>
    </row>
    <row r="42" s="1" customFormat="1" ht="41.95" customHeight="1" spans="1:8">
      <c r="A42" s="48" t="s">
        <v>42</v>
      </c>
      <c r="B42" s="48"/>
      <c r="C42" s="48"/>
      <c r="D42" s="48"/>
      <c r="E42" s="48"/>
      <c r="F42" s="48"/>
      <c r="G42" s="48"/>
      <c r="H42" s="48"/>
    </row>
    <row r="43" s="1" customFormat="1" ht="55.6" customHeight="1" spans="1:8">
      <c r="A43" s="49" t="s">
        <v>43</v>
      </c>
      <c r="B43" s="49"/>
      <c r="C43" s="49"/>
      <c r="D43" s="49"/>
      <c r="E43" s="49"/>
      <c r="F43" s="49"/>
      <c r="G43" s="49"/>
      <c r="H43" s="49"/>
    </row>
  </sheetData>
  <mergeCells count="23">
    <mergeCell ref="C1:H1"/>
    <mergeCell ref="C2:H2"/>
    <mergeCell ref="C3:H3"/>
    <mergeCell ref="C4:H4"/>
    <mergeCell ref="C5:H5"/>
    <mergeCell ref="B6:H6"/>
    <mergeCell ref="C8:H8"/>
    <mergeCell ref="B15:H15"/>
    <mergeCell ref="A29:E29"/>
    <mergeCell ref="A32:H32"/>
    <mergeCell ref="A33:H33"/>
    <mergeCell ref="A34:H34"/>
    <mergeCell ref="A35:H35"/>
    <mergeCell ref="A36:H36"/>
    <mergeCell ref="A37:H37"/>
    <mergeCell ref="A38:H38"/>
    <mergeCell ref="A39:H39"/>
    <mergeCell ref="A40:H40"/>
    <mergeCell ref="A41:H41"/>
    <mergeCell ref="A42:H42"/>
    <mergeCell ref="A43:H43"/>
    <mergeCell ref="A1:A3"/>
    <mergeCell ref="B1:B3"/>
  </mergeCells>
  <pageMargins left="0.7" right="0.7" top="0.75" bottom="0.75" header="0.3" footer="0.3"/>
  <pageSetup paperSize="9" orientation="portrait"/>
  <headerFooter>
    <oddHeader>&amp;C&amp;G</oddHeader>
  </headerFooter>
  <drawing r:id="rId1"/>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
  <sheetViews>
    <sheetView topLeftCell="A7" workbookViewId="0">
      <selection activeCell="H12" sqref="H12"/>
    </sheetView>
  </sheetViews>
  <sheetFormatPr defaultColWidth="8.66666666666667" defaultRowHeight="15"/>
  <cols>
    <col min="1" max="1" width="7.66666666666667" customWidth="1"/>
    <col min="2" max="2" width="35" customWidth="1"/>
    <col min="3" max="3" width="16" customWidth="1"/>
    <col min="4" max="4" width="21" customWidth="1"/>
    <col min="5" max="5" width="20.4380952380952" customWidth="1"/>
    <col min="6" max="6" width="12.6666666666667" customWidth="1"/>
    <col min="7" max="7" width="19.1047619047619" customWidth="1"/>
    <col min="8" max="8" width="43" customWidth="1"/>
    <col min="9" max="9" width="20.3333333333333" customWidth="1"/>
    <col min="10" max="10" width="13.1047619047619" customWidth="1"/>
    <col min="12" max="12" width="14.4380952380952" customWidth="1"/>
    <col min="14" max="14" width="14.6666666666667" customWidth="1"/>
    <col min="17" max="17" width="16" customWidth="1"/>
  </cols>
  <sheetData>
    <row r="1" s="1" customFormat="1" ht="58.55" customHeight="1" spans="1:8">
      <c r="A1" s="2"/>
      <c r="B1" s="2"/>
      <c r="C1" s="3" t="s">
        <v>0</v>
      </c>
      <c r="D1" s="4"/>
      <c r="E1" s="4"/>
      <c r="F1" s="4"/>
      <c r="G1" s="4"/>
      <c r="H1" s="4"/>
    </row>
    <row r="2" s="1" customFormat="1" ht="24.75" customHeight="1" spans="1:8">
      <c r="A2" s="2"/>
      <c r="B2" s="2"/>
      <c r="C2" s="5" t="s">
        <v>1</v>
      </c>
      <c r="D2" s="5"/>
      <c r="E2" s="5"/>
      <c r="F2" s="5"/>
      <c r="G2" s="5"/>
      <c r="H2" s="5"/>
    </row>
    <row r="3" s="1" customFormat="1" ht="21.8" customHeight="1" spans="1:8">
      <c r="A3" s="2"/>
      <c r="B3" s="2"/>
      <c r="C3" s="5" t="s">
        <v>2</v>
      </c>
      <c r="D3" s="5"/>
      <c r="E3" s="5"/>
      <c r="F3" s="5"/>
      <c r="G3" s="5"/>
      <c r="H3" s="5"/>
    </row>
    <row r="4" s="1" customFormat="1" ht="18.75" spans="1:8">
      <c r="A4" s="2"/>
      <c r="B4" s="2"/>
      <c r="C4" s="5" t="s">
        <v>3</v>
      </c>
      <c r="D4" s="5"/>
      <c r="E4" s="5"/>
      <c r="F4" s="5"/>
      <c r="G4" s="5"/>
      <c r="H4" s="5"/>
    </row>
    <row r="5" s="1" customFormat="1" ht="18.75" spans="1:8">
      <c r="A5" s="2"/>
      <c r="B5" s="2"/>
      <c r="C5" s="5" t="s">
        <v>4</v>
      </c>
      <c r="D5" s="5"/>
      <c r="E5" s="5"/>
      <c r="F5" s="5"/>
      <c r="G5" s="5"/>
      <c r="H5" s="5"/>
    </row>
    <row r="6" s="1" customFormat="1" ht="58.55" customHeight="1" spans="1:8">
      <c r="A6" s="2"/>
      <c r="B6" s="6" t="s">
        <v>5</v>
      </c>
      <c r="C6" s="7"/>
      <c r="D6" s="7"/>
      <c r="E6" s="7"/>
      <c r="F6" s="7"/>
      <c r="G6" s="7"/>
      <c r="H6" s="7"/>
    </row>
    <row r="7" s="1" customFormat="1" ht="27.1" customHeight="1" spans="1:8">
      <c r="A7" s="2"/>
      <c r="B7" s="8"/>
      <c r="C7" s="8"/>
      <c r="D7" s="8"/>
      <c r="E7" s="8"/>
      <c r="F7" s="8"/>
      <c r="G7" s="8"/>
      <c r="H7" s="8"/>
    </row>
    <row r="8" s="1" customFormat="1" ht="27.1" customHeight="1" spans="1:8">
      <c r="A8" s="9" t="s">
        <v>6</v>
      </c>
      <c r="B8" s="10"/>
      <c r="C8" s="11" t="s">
        <v>44</v>
      </c>
      <c r="D8" s="11"/>
      <c r="E8" s="11"/>
      <c r="F8" s="11"/>
      <c r="G8" s="11"/>
      <c r="H8" s="11"/>
    </row>
    <row r="9" s="1" customFormat="1" ht="23.35" customHeight="1" spans="1:8">
      <c r="A9" s="12" t="s">
        <v>7</v>
      </c>
      <c r="B9" s="12"/>
      <c r="C9" s="9" t="s">
        <v>45</v>
      </c>
      <c r="D9" s="2"/>
      <c r="E9" s="2"/>
      <c r="F9" s="2"/>
      <c r="G9" s="2"/>
      <c r="H9" s="2"/>
    </row>
    <row r="10" s="1" customFormat="1" ht="27.1" customHeight="1" spans="1:8">
      <c r="A10" s="12"/>
      <c r="B10" s="12"/>
      <c r="C10" s="2"/>
      <c r="D10" s="2"/>
      <c r="E10" s="2"/>
      <c r="F10" s="2"/>
      <c r="G10" s="2"/>
      <c r="H10" s="2"/>
    </row>
    <row r="11" s="1" customFormat="1" ht="27.7" customHeight="1" spans="1:8">
      <c r="A11" s="12" t="s">
        <v>46</v>
      </c>
      <c r="B11" s="12"/>
      <c r="C11" s="2"/>
      <c r="D11" s="2"/>
      <c r="E11" s="12" t="s">
        <v>9</v>
      </c>
      <c r="F11" s="12"/>
      <c r="G11" s="13"/>
      <c r="H11" s="12" t="s">
        <v>47</v>
      </c>
    </row>
    <row r="12" s="1" customFormat="1" ht="23.35" customHeight="1" spans="1:10">
      <c r="A12" s="12" t="s">
        <v>70</v>
      </c>
      <c r="B12" s="12"/>
      <c r="C12" s="2"/>
      <c r="D12" s="2"/>
      <c r="E12" s="14" t="s">
        <v>11</v>
      </c>
      <c r="F12" s="13"/>
      <c r="G12" s="13"/>
      <c r="H12" s="12" t="s">
        <v>49</v>
      </c>
      <c r="J12" s="50"/>
    </row>
    <row r="13" s="1" customFormat="1" ht="27.1" customHeight="1" spans="1:10">
      <c r="A13" s="12" t="s">
        <v>71</v>
      </c>
      <c r="B13" s="12"/>
      <c r="C13" s="2"/>
      <c r="D13" s="2"/>
      <c r="E13" s="9" t="s">
        <v>51</v>
      </c>
      <c r="F13" s="9"/>
      <c r="G13" s="2"/>
      <c r="H13" s="15"/>
      <c r="J13" s="50"/>
    </row>
    <row r="14" s="1" customFormat="1" ht="19.9" customHeight="1" spans="1:10">
      <c r="A14" s="12"/>
      <c r="B14" s="12"/>
      <c r="C14" s="2"/>
      <c r="D14" s="2"/>
      <c r="E14" s="9"/>
      <c r="F14" s="9"/>
      <c r="G14" s="2"/>
      <c r="H14" s="2"/>
      <c r="J14" s="50"/>
    </row>
    <row r="15" s="1" customFormat="1" ht="21" spans="2:10">
      <c r="B15" s="16"/>
      <c r="C15" s="16"/>
      <c r="D15" s="16"/>
      <c r="E15" s="16"/>
      <c r="F15" s="16"/>
      <c r="G15" s="16"/>
      <c r="H15" s="16"/>
      <c r="J15" s="50"/>
    </row>
    <row r="16" s="1" customFormat="1" ht="55.6" customHeight="1" spans="1:14">
      <c r="A16" s="17" t="s">
        <v>14</v>
      </c>
      <c r="B16" s="18" t="s">
        <v>15</v>
      </c>
      <c r="C16" s="18" t="s">
        <v>16</v>
      </c>
      <c r="D16" s="18" t="s">
        <v>72</v>
      </c>
      <c r="E16" s="18" t="s">
        <v>18</v>
      </c>
      <c r="F16" s="18" t="s">
        <v>19</v>
      </c>
      <c r="G16" s="18" t="s">
        <v>20</v>
      </c>
      <c r="H16" s="19" t="s">
        <v>21</v>
      </c>
      <c r="J16" s="50"/>
      <c r="L16" s="51"/>
      <c r="N16" s="52"/>
    </row>
    <row r="17" s="1" customFormat="1" ht="48.05" customHeight="1" spans="1:10">
      <c r="A17" s="20">
        <v>1</v>
      </c>
      <c r="B17" s="21" t="s">
        <v>52</v>
      </c>
      <c r="C17" s="22" t="s">
        <v>53</v>
      </c>
      <c r="D17" s="23">
        <v>1</v>
      </c>
      <c r="E17" s="24">
        <v>2000</v>
      </c>
      <c r="F17" s="24">
        <v>0</v>
      </c>
      <c r="G17" s="24">
        <f>E17</f>
        <v>2000</v>
      </c>
      <c r="H17" s="25" t="s">
        <v>54</v>
      </c>
      <c r="I17" s="53"/>
      <c r="J17" s="50"/>
    </row>
    <row r="18" s="1" customFormat="1" ht="53.25" customHeight="1" spans="1:10">
      <c r="A18" s="26" t="s">
        <v>14</v>
      </c>
      <c r="B18" s="27" t="s">
        <v>22</v>
      </c>
      <c r="C18" s="28" t="s">
        <v>23</v>
      </c>
      <c r="D18" s="18" t="s">
        <v>74</v>
      </c>
      <c r="E18" s="27" t="s">
        <v>25</v>
      </c>
      <c r="F18" s="28" t="s">
        <v>26</v>
      </c>
      <c r="G18" s="28"/>
      <c r="H18" s="29" t="s">
        <v>27</v>
      </c>
      <c r="J18" s="50"/>
    </row>
    <row r="19" s="1" customFormat="1" ht="32.25" customHeight="1" spans="1:10">
      <c r="A19" s="30">
        <v>3</v>
      </c>
      <c r="B19" s="31" t="s">
        <v>55</v>
      </c>
      <c r="C19" s="32" t="s">
        <v>56</v>
      </c>
      <c r="D19" s="22">
        <v>1</v>
      </c>
      <c r="E19" s="33">
        <v>35</v>
      </c>
      <c r="F19" s="33">
        <f>E19*0.08</f>
        <v>2.8</v>
      </c>
      <c r="G19" s="33">
        <f>E19+F19</f>
        <v>37.8</v>
      </c>
      <c r="H19" s="34"/>
      <c r="J19" s="50"/>
    </row>
    <row r="20" s="1" customFormat="1" ht="29" customHeight="1" spans="1:10">
      <c r="A20" s="20">
        <v>3</v>
      </c>
      <c r="B20" s="35" t="s">
        <v>57</v>
      </c>
      <c r="C20" s="32" t="s">
        <v>58</v>
      </c>
      <c r="D20" s="22">
        <v>1</v>
      </c>
      <c r="E20" s="33">
        <v>185</v>
      </c>
      <c r="F20" s="33">
        <f t="shared" ref="F20:F28" si="0">E20*0.08</f>
        <v>14.8</v>
      </c>
      <c r="G20" s="33">
        <f>(E20+F20)*D20</f>
        <v>199.8</v>
      </c>
      <c r="H20" s="36"/>
      <c r="J20" s="50"/>
    </row>
    <row r="21" s="1" customFormat="1" ht="21.8" customHeight="1" spans="1:10">
      <c r="A21" s="30">
        <v>4</v>
      </c>
      <c r="B21" s="35" t="s">
        <v>59</v>
      </c>
      <c r="C21" s="32" t="s">
        <v>58</v>
      </c>
      <c r="D21" s="22">
        <v>1</v>
      </c>
      <c r="E21" s="33">
        <v>10</v>
      </c>
      <c r="F21" s="33">
        <f t="shared" si="0"/>
        <v>0.8</v>
      </c>
      <c r="G21" s="33">
        <f>(E21+F21)*D21</f>
        <v>10.8</v>
      </c>
      <c r="H21" s="36"/>
      <c r="J21" s="51"/>
    </row>
    <row r="22" s="1" customFormat="1" ht="21.8" customHeight="1" spans="1:10">
      <c r="A22" s="20">
        <v>5</v>
      </c>
      <c r="B22" s="35" t="s">
        <v>60</v>
      </c>
      <c r="C22" s="32" t="s">
        <v>58</v>
      </c>
      <c r="D22" s="22">
        <v>1</v>
      </c>
      <c r="E22" s="33">
        <v>35</v>
      </c>
      <c r="F22" s="33">
        <f t="shared" si="0"/>
        <v>2.8</v>
      </c>
      <c r="G22" s="33">
        <f>(E22+F22)*D22</f>
        <v>37.8</v>
      </c>
      <c r="H22" s="36"/>
      <c r="J22" s="51"/>
    </row>
    <row r="23" s="1" customFormat="1" ht="21.8" customHeight="1" spans="1:10">
      <c r="A23" s="30">
        <v>6</v>
      </c>
      <c r="B23" s="35" t="s">
        <v>61</v>
      </c>
      <c r="C23" s="32" t="s">
        <v>58</v>
      </c>
      <c r="D23" s="22">
        <v>1</v>
      </c>
      <c r="E23" s="33">
        <v>35</v>
      </c>
      <c r="F23" s="33">
        <f t="shared" si="0"/>
        <v>2.8</v>
      </c>
      <c r="G23" s="33">
        <f>(E23+F23)*D23</f>
        <v>37.8</v>
      </c>
      <c r="H23" s="36"/>
      <c r="J23" s="51"/>
    </row>
    <row r="24" s="1" customFormat="1" ht="21.8" customHeight="1" spans="1:10">
      <c r="A24" s="20">
        <v>7</v>
      </c>
      <c r="B24" s="35" t="s">
        <v>62</v>
      </c>
      <c r="C24" s="32" t="s">
        <v>58</v>
      </c>
      <c r="D24" s="22">
        <v>1</v>
      </c>
      <c r="E24" s="33">
        <v>260</v>
      </c>
      <c r="F24" s="33">
        <f t="shared" si="0"/>
        <v>20.8</v>
      </c>
      <c r="G24" s="33">
        <f>(E24+F24)*D24</f>
        <v>280.8</v>
      </c>
      <c r="H24" s="36"/>
      <c r="J24" s="51"/>
    </row>
    <row r="25" s="1" customFormat="1" ht="21.8" customHeight="1" spans="1:10">
      <c r="A25" s="30">
        <v>8</v>
      </c>
      <c r="B25" s="35" t="s">
        <v>63</v>
      </c>
      <c r="C25" s="32" t="s">
        <v>58</v>
      </c>
      <c r="D25" s="22">
        <v>1</v>
      </c>
      <c r="E25" s="33" t="s">
        <v>64</v>
      </c>
      <c r="F25" s="33" t="s">
        <v>64</v>
      </c>
      <c r="G25" s="33" t="s">
        <v>64</v>
      </c>
      <c r="H25" s="37" t="s">
        <v>65</v>
      </c>
      <c r="J25" s="51"/>
    </row>
    <row r="26" s="1" customFormat="1" ht="21.8" customHeight="1" spans="1:10">
      <c r="A26" s="20">
        <v>9</v>
      </c>
      <c r="B26" s="35" t="s">
        <v>66</v>
      </c>
      <c r="C26" s="32" t="s">
        <v>58</v>
      </c>
      <c r="D26" s="22">
        <v>1</v>
      </c>
      <c r="E26" s="33">
        <v>25</v>
      </c>
      <c r="F26" s="33">
        <f t="shared" si="0"/>
        <v>2</v>
      </c>
      <c r="G26" s="33">
        <f>(E26+F26)*D26</f>
        <v>27</v>
      </c>
      <c r="H26" s="36"/>
      <c r="J26" s="51"/>
    </row>
    <row r="27" s="1" customFormat="1" ht="21.8" customHeight="1" spans="1:10">
      <c r="A27" s="30">
        <v>10</v>
      </c>
      <c r="B27" s="35" t="s">
        <v>67</v>
      </c>
      <c r="C27" s="32" t="s">
        <v>58</v>
      </c>
      <c r="D27" s="22">
        <v>1</v>
      </c>
      <c r="E27" s="33">
        <v>35</v>
      </c>
      <c r="F27" s="33">
        <f t="shared" si="0"/>
        <v>2.8</v>
      </c>
      <c r="G27" s="33">
        <f>(E27+F27)*D27</f>
        <v>37.8</v>
      </c>
      <c r="H27" s="36"/>
      <c r="J27" s="51"/>
    </row>
    <row r="28" s="1" customFormat="1" ht="21.8" customHeight="1" spans="1:10">
      <c r="A28" s="20">
        <v>12</v>
      </c>
      <c r="B28" s="35" t="s">
        <v>68</v>
      </c>
      <c r="C28" s="32" t="s">
        <v>58</v>
      </c>
      <c r="D28" s="22">
        <v>1</v>
      </c>
      <c r="E28" s="33">
        <v>50</v>
      </c>
      <c r="F28" s="33">
        <f t="shared" si="0"/>
        <v>4</v>
      </c>
      <c r="G28" s="33">
        <f>(E28+F28)*D28</f>
        <v>54</v>
      </c>
      <c r="H28" s="36"/>
      <c r="J28" s="51"/>
    </row>
    <row r="29" s="1" customFormat="1" ht="41.35" customHeight="1" spans="1:10">
      <c r="A29" s="38" t="s">
        <v>28</v>
      </c>
      <c r="B29" s="39"/>
      <c r="C29" s="39"/>
      <c r="D29" s="39"/>
      <c r="E29" s="39"/>
      <c r="F29" s="40" t="s">
        <v>29</v>
      </c>
      <c r="G29" s="41">
        <f>SUM(G17:G28)</f>
        <v>2723.6</v>
      </c>
      <c r="H29" s="42" t="s">
        <v>30</v>
      </c>
      <c r="J29" s="51"/>
    </row>
    <row r="30" s="1" customFormat="1" ht="21.8" customHeight="1" spans="10:12">
      <c r="J30" s="51"/>
      <c r="L30" s="51"/>
    </row>
    <row r="31" s="1" customFormat="1" ht="18.75" spans="1:2">
      <c r="A31" s="43" t="s">
        <v>31</v>
      </c>
      <c r="B31" s="44"/>
    </row>
    <row r="32" s="1" customFormat="1" ht="48.05" customHeight="1" spans="1:8">
      <c r="A32" s="45" t="s">
        <v>32</v>
      </c>
      <c r="B32" s="45"/>
      <c r="C32" s="45"/>
      <c r="D32" s="45"/>
      <c r="E32" s="45"/>
      <c r="F32" s="45"/>
      <c r="G32" s="45"/>
      <c r="H32" s="45"/>
    </row>
    <row r="33" s="1" customFormat="1" ht="48.05" customHeight="1" spans="1:8">
      <c r="A33" s="45" t="s">
        <v>33</v>
      </c>
      <c r="B33" s="45"/>
      <c r="C33" s="45"/>
      <c r="D33" s="45"/>
      <c r="E33" s="45"/>
      <c r="F33" s="45"/>
      <c r="G33" s="45"/>
      <c r="H33" s="45"/>
    </row>
    <row r="34" s="1" customFormat="1" ht="93" customHeight="1" spans="1:8">
      <c r="A34" s="45" t="s">
        <v>34</v>
      </c>
      <c r="B34" s="45"/>
      <c r="C34" s="45"/>
      <c r="D34" s="45"/>
      <c r="E34" s="45"/>
      <c r="F34" s="45"/>
      <c r="G34" s="45"/>
      <c r="H34" s="45"/>
    </row>
    <row r="35" s="1" customFormat="1" ht="88.45" customHeight="1" spans="1:8">
      <c r="A35" s="45" t="s">
        <v>35</v>
      </c>
      <c r="B35" s="45"/>
      <c r="C35" s="45"/>
      <c r="D35" s="45"/>
      <c r="E35" s="45"/>
      <c r="F35" s="45"/>
      <c r="G35" s="45"/>
      <c r="H35" s="45"/>
    </row>
    <row r="36" s="1" customFormat="1" ht="50.25" customHeight="1" spans="1:8">
      <c r="A36" s="45" t="s">
        <v>36</v>
      </c>
      <c r="B36" s="45"/>
      <c r="C36" s="45"/>
      <c r="D36" s="45"/>
      <c r="E36" s="45"/>
      <c r="F36" s="45"/>
      <c r="G36" s="45"/>
      <c r="H36" s="45"/>
    </row>
    <row r="37" s="1" customFormat="1" ht="47.3" customHeight="1" spans="1:8">
      <c r="A37" s="45" t="s">
        <v>75</v>
      </c>
      <c r="B37" s="45"/>
      <c r="C37" s="45"/>
      <c r="D37" s="45"/>
      <c r="E37" s="45"/>
      <c r="F37" s="45"/>
      <c r="G37" s="45"/>
      <c r="H37" s="45"/>
    </row>
    <row r="38" s="1" customFormat="1" ht="49.5" customHeight="1" spans="1:8">
      <c r="A38" s="45" t="s">
        <v>38</v>
      </c>
      <c r="B38" s="45"/>
      <c r="C38" s="45"/>
      <c r="D38" s="45"/>
      <c r="E38" s="45"/>
      <c r="F38" s="45"/>
      <c r="G38" s="45"/>
      <c r="H38" s="45"/>
    </row>
    <row r="39" s="1" customFormat="1" ht="44.3" customHeight="1" spans="1:8">
      <c r="A39" s="46" t="s">
        <v>69</v>
      </c>
      <c r="B39" s="46"/>
      <c r="C39" s="46"/>
      <c r="D39" s="46"/>
      <c r="E39" s="46"/>
      <c r="F39" s="46"/>
      <c r="G39" s="46"/>
      <c r="H39" s="46"/>
    </row>
    <row r="40" s="1" customFormat="1" ht="49.15" customHeight="1" spans="1:8">
      <c r="A40" s="47" t="s">
        <v>40</v>
      </c>
      <c r="B40" s="47"/>
      <c r="C40" s="47"/>
      <c r="D40" s="47"/>
      <c r="E40" s="47"/>
      <c r="F40" s="47"/>
      <c r="G40" s="47"/>
      <c r="H40" s="47"/>
    </row>
    <row r="41" s="1" customFormat="1" ht="52.9" customHeight="1" spans="1:8">
      <c r="A41" s="45" t="s">
        <v>41</v>
      </c>
      <c r="B41" s="45"/>
      <c r="C41" s="45"/>
      <c r="D41" s="45"/>
      <c r="E41" s="45"/>
      <c r="F41" s="45"/>
      <c r="G41" s="45"/>
      <c r="H41" s="45"/>
    </row>
    <row r="42" s="1" customFormat="1" ht="41.95" customHeight="1" spans="1:8">
      <c r="A42" s="48" t="s">
        <v>42</v>
      </c>
      <c r="B42" s="48"/>
      <c r="C42" s="48"/>
      <c r="D42" s="48"/>
      <c r="E42" s="48"/>
      <c r="F42" s="48"/>
      <c r="G42" s="48"/>
      <c r="H42" s="48"/>
    </row>
    <row r="43" s="1" customFormat="1" ht="55.6" customHeight="1" spans="1:8">
      <c r="A43" s="49" t="s">
        <v>43</v>
      </c>
      <c r="B43" s="49"/>
      <c r="C43" s="49"/>
      <c r="D43" s="49"/>
      <c r="E43" s="49"/>
      <c r="F43" s="49"/>
      <c r="G43" s="49"/>
      <c r="H43" s="49"/>
    </row>
  </sheetData>
  <mergeCells count="23">
    <mergeCell ref="C1:H1"/>
    <mergeCell ref="C2:H2"/>
    <mergeCell ref="C3:H3"/>
    <mergeCell ref="C4:H4"/>
    <mergeCell ref="C5:H5"/>
    <mergeCell ref="B6:H6"/>
    <mergeCell ref="C8:H8"/>
    <mergeCell ref="B15:H15"/>
    <mergeCell ref="A29:E29"/>
    <mergeCell ref="A32:H32"/>
    <mergeCell ref="A33:H33"/>
    <mergeCell ref="A34:H34"/>
    <mergeCell ref="A35:H35"/>
    <mergeCell ref="A36:H36"/>
    <mergeCell ref="A37:H37"/>
    <mergeCell ref="A38:H38"/>
    <mergeCell ref="A39:H39"/>
    <mergeCell ref="A40:H40"/>
    <mergeCell ref="A41:H41"/>
    <mergeCell ref="A42:H42"/>
    <mergeCell ref="A43:H43"/>
    <mergeCell ref="A1:A3"/>
    <mergeCell ref="B1:B3"/>
  </mergeCells>
  <pageMargins left="0.7" right="0.7" top="0.75" bottom="0.75" header="0.3" footer="0.3"/>
  <pageSetup paperSize="9" orientation="portrait"/>
  <headerFooter>
    <oddHeader>&amp;C&amp;G</oddHeader>
  </headerFooter>
  <drawing r:id="rId1"/>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E453B08-7156-431B-9715-72115B3F8024}">
  <ds:schemaRefs/>
</ds:datastoreItem>
</file>

<file path=customXml/itemProps2.xml><?xml version="1.0" encoding="utf-8"?>
<ds:datastoreItem xmlns:ds="http://schemas.openxmlformats.org/officeDocument/2006/customXml" ds:itemID="{D6C6F93E-02FF-4BF0-AA87-993955351FB3}">
  <ds:schemaRefs/>
</ds:datastoreItem>
</file>

<file path=customXml/itemProps3.xml><?xml version="1.0" encoding="utf-8"?>
<ds:datastoreItem xmlns:ds="http://schemas.openxmlformats.org/officeDocument/2006/customXml" ds:itemID="{18256BF0-9E0B-4D1E-BF31-9BFD71F55B7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40RF MELBOURNE OOCL</vt:lpstr>
      <vt:lpstr>40RF MELBOURNE PIL</vt:lpstr>
      <vt:lpstr>20RF MELBOURNE OOCL</vt:lpstr>
      <vt:lpstr>20RF MELBOURNE PIL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dc:creator>
  <cp:lastModifiedBy>PCPV</cp:lastModifiedBy>
  <dcterms:created xsi:type="dcterms:W3CDTF">2020-05-13T02:36:00Z</dcterms:created>
  <cp:lastPrinted>2021-05-17T08:36:00Z</cp:lastPrinted>
  <dcterms:modified xsi:type="dcterms:W3CDTF">2025-11-24T01:47:40Z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0x010100A39ACC0DEA04154D880DA3AA0479DE48</vt:lpwstr>
  </property>
  <property fmtid="{D5CDD505-2E9C-101B-9397-08002B2CF9AE}" pid="3" name="xd_Signature">
    <vt:bool>false</vt:bool>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ICV">
    <vt:lpwstr>096F739CC0EB40F28E14ECC302F33E00_13</vt:lpwstr>
  </property>
  <property fmtid="{D5CDD505-2E9C-101B-9397-08002B2CF9AE}" pid="8" name="KSOProductBuildVer">
    <vt:lpwstr>1033-11.2.0.9052</vt:lpwstr>
  </property>
</Properties>
</file>